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aran\Downloads\"/>
    </mc:Choice>
  </mc:AlternateContent>
  <xr:revisionPtr revIDLastSave="0" documentId="8_{679C154E-EE72-43C3-AF8A-A4A96D99475E}" xr6:coauthVersionLast="47" xr6:coauthVersionMax="47" xr10:uidLastSave="{00000000-0000-0000-0000-000000000000}"/>
  <bookViews>
    <workbookView xWindow="-108" yWindow="-108" windowWidth="23256" windowHeight="12456" activeTab="3" xr2:uid="{580F07C0-F0E8-443C-B473-F0BAE183E828}"/>
  </bookViews>
  <sheets>
    <sheet name="Sales_Data" sheetId="1" r:id="rId1"/>
    <sheet name="MIS_Data" sheetId="2" r:id="rId2"/>
    <sheet name="cleaning" sheetId="3" r:id="rId3"/>
    <sheet name="date time function" sheetId="5" r:id="rId4"/>
    <sheet name="data summary" sheetId="4" r:id="rId5"/>
  </sheets>
  <definedNames>
    <definedName name="_xlnm._FilterDatabase" localSheetId="0" hidden="1">Sales_Data!$A$1:$K$51</definedName>
    <definedName name="ExternalData_1" localSheetId="1" hidden="1">MIS_Data!$A$1:$P$181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5" l="1"/>
  <c r="G5" i="5"/>
  <c r="H5" i="5"/>
  <c r="I5" i="5"/>
  <c r="J5" i="5"/>
  <c r="K5" i="5"/>
  <c r="F6" i="5"/>
  <c r="G6" i="5"/>
  <c r="H6" i="5"/>
  <c r="I6" i="5"/>
  <c r="J6" i="5"/>
  <c r="K6" i="5"/>
  <c r="F7" i="5"/>
  <c r="G7" i="5"/>
  <c r="H7" i="5"/>
  <c r="I7" i="5"/>
  <c r="J7" i="5"/>
  <c r="K7" i="5"/>
  <c r="F8" i="5"/>
  <c r="G8" i="5"/>
  <c r="H8" i="5"/>
  <c r="I8" i="5"/>
  <c r="J8" i="5"/>
  <c r="K8" i="5"/>
  <c r="F9" i="5"/>
  <c r="G9" i="5"/>
  <c r="H9" i="5"/>
  <c r="I9" i="5"/>
  <c r="J9" i="5"/>
  <c r="F10" i="5"/>
  <c r="G10" i="5"/>
  <c r="H10" i="5"/>
  <c r="I10" i="5"/>
  <c r="J10" i="5"/>
  <c r="K10" i="5"/>
  <c r="F11" i="5"/>
  <c r="G11" i="5"/>
  <c r="H11" i="5"/>
  <c r="I11" i="5"/>
  <c r="J11" i="5"/>
  <c r="K11" i="5"/>
  <c r="F12" i="5"/>
  <c r="G12" i="5"/>
  <c r="H12" i="5"/>
  <c r="I12" i="5"/>
  <c r="J12" i="5"/>
  <c r="K12" i="5"/>
  <c r="F13" i="5"/>
  <c r="G13" i="5"/>
  <c r="H13" i="5"/>
  <c r="I13" i="5"/>
  <c r="J13" i="5"/>
  <c r="K13" i="5"/>
  <c r="F14" i="5"/>
  <c r="G14" i="5"/>
  <c r="H14" i="5"/>
  <c r="I14" i="5"/>
  <c r="J14" i="5"/>
  <c r="K14" i="5"/>
  <c r="F15" i="5"/>
  <c r="G15" i="5"/>
  <c r="H15" i="5"/>
  <c r="I15" i="5"/>
  <c r="J15" i="5"/>
  <c r="K15" i="5"/>
  <c r="F16" i="5"/>
  <c r="G16" i="5"/>
  <c r="H16" i="5"/>
  <c r="I16" i="5"/>
  <c r="J16" i="5"/>
  <c r="K16" i="5"/>
  <c r="F17" i="5"/>
  <c r="G17" i="5"/>
  <c r="H17" i="5"/>
  <c r="I17" i="5"/>
  <c r="J17" i="5"/>
  <c r="K17" i="5"/>
  <c r="F18" i="5"/>
  <c r="G18" i="5"/>
  <c r="H18" i="5"/>
  <c r="I18" i="5"/>
  <c r="J18" i="5"/>
  <c r="K18" i="5"/>
  <c r="F19" i="5"/>
  <c r="G19" i="5"/>
  <c r="H19" i="5"/>
  <c r="I19" i="5"/>
  <c r="J19" i="5"/>
  <c r="K19" i="5"/>
  <c r="F20" i="5"/>
  <c r="G20" i="5"/>
  <c r="H20" i="5"/>
  <c r="I20" i="5"/>
  <c r="J20" i="5"/>
  <c r="K20" i="5"/>
  <c r="F21" i="5"/>
  <c r="G21" i="5"/>
  <c r="H21" i="5"/>
  <c r="I21" i="5"/>
  <c r="J21" i="5"/>
  <c r="K21" i="5"/>
  <c r="F22" i="5"/>
  <c r="G22" i="5"/>
  <c r="H22" i="5"/>
  <c r="I22" i="5"/>
  <c r="J22" i="5"/>
  <c r="K22" i="5"/>
  <c r="F23" i="5"/>
  <c r="G23" i="5"/>
  <c r="H23" i="5"/>
  <c r="I23" i="5"/>
  <c r="J23" i="5"/>
  <c r="K23" i="5"/>
  <c r="F24" i="5"/>
  <c r="G24" i="5"/>
  <c r="H24" i="5"/>
  <c r="I24" i="5"/>
  <c r="J24" i="5"/>
  <c r="K24" i="5"/>
  <c r="F25" i="5"/>
  <c r="G25" i="5"/>
  <c r="H25" i="5"/>
  <c r="I25" i="5"/>
  <c r="J25" i="5"/>
  <c r="K25" i="5"/>
  <c r="L25" i="3"/>
  <c r="K25" i="3"/>
  <c r="H25" i="3"/>
  <c r="I25" i="3" s="1"/>
  <c r="J25" i="3" s="1"/>
  <c r="L24" i="3"/>
  <c r="K24" i="3"/>
  <c r="H24" i="3"/>
  <c r="I24" i="3" s="1"/>
  <c r="J24" i="3" s="1"/>
  <c r="L23" i="3"/>
  <c r="K23" i="3"/>
  <c r="H23" i="3"/>
  <c r="I23" i="3" s="1"/>
  <c r="J23" i="3" s="1"/>
  <c r="L22" i="3"/>
  <c r="K22" i="3"/>
  <c r="H22" i="3"/>
  <c r="I22" i="3" s="1"/>
  <c r="J22" i="3" s="1"/>
  <c r="L21" i="3"/>
  <c r="K21" i="3"/>
  <c r="H21" i="3"/>
  <c r="I21" i="3" s="1"/>
  <c r="J21" i="3" s="1"/>
  <c r="L20" i="3"/>
  <c r="K20" i="3"/>
  <c r="I20" i="3"/>
  <c r="J20" i="3" s="1"/>
  <c r="H20" i="3"/>
  <c r="L19" i="3"/>
  <c r="K19" i="3"/>
  <c r="H19" i="3"/>
  <c r="I19" i="3" s="1"/>
  <c r="J19" i="3" s="1"/>
  <c r="L18" i="3"/>
  <c r="K18" i="3"/>
  <c r="I18" i="3"/>
  <c r="J18" i="3" s="1"/>
  <c r="H18" i="3"/>
  <c r="L17" i="3"/>
  <c r="K17" i="3"/>
  <c r="H17" i="3"/>
  <c r="I17" i="3" s="1"/>
  <c r="J17" i="3" s="1"/>
  <c r="L16" i="3"/>
  <c r="K16" i="3"/>
  <c r="H16" i="3"/>
  <c r="I16" i="3" s="1"/>
  <c r="J16" i="3" s="1"/>
  <c r="L15" i="3"/>
  <c r="K15" i="3"/>
  <c r="H15" i="3"/>
  <c r="I15" i="3" s="1"/>
  <c r="J15" i="3" s="1"/>
  <c r="L14" i="3"/>
  <c r="K14" i="3"/>
  <c r="H14" i="3"/>
  <c r="I14" i="3" s="1"/>
  <c r="J14" i="3" s="1"/>
  <c r="L13" i="3"/>
  <c r="K13" i="3"/>
  <c r="H13" i="3"/>
  <c r="I13" i="3" s="1"/>
  <c r="J13" i="3" s="1"/>
  <c r="L12" i="3"/>
  <c r="K12" i="3"/>
  <c r="H12" i="3"/>
  <c r="I12" i="3" s="1"/>
  <c r="J12" i="3" s="1"/>
  <c r="L11" i="3"/>
  <c r="K11" i="3"/>
  <c r="H11" i="3"/>
  <c r="I11" i="3" s="1"/>
  <c r="J11" i="3" s="1"/>
  <c r="L10" i="3"/>
  <c r="K10" i="3"/>
  <c r="I10" i="3"/>
  <c r="J10" i="3" s="1"/>
  <c r="H10" i="3"/>
  <c r="L9" i="3"/>
  <c r="K9" i="3"/>
  <c r="H9" i="3"/>
  <c r="I9" i="3" s="1"/>
  <c r="J9" i="3" s="1"/>
  <c r="L8" i="3"/>
  <c r="K8" i="3"/>
  <c r="H8" i="3"/>
  <c r="I8" i="3" s="1"/>
  <c r="J8" i="3" s="1"/>
  <c r="L7" i="3"/>
  <c r="K7" i="3"/>
  <c r="I7" i="3"/>
  <c r="J7" i="3" s="1"/>
  <c r="H7" i="3"/>
  <c r="L6" i="3"/>
  <c r="K6" i="3"/>
  <c r="H6" i="3"/>
  <c r="I6" i="3" s="1"/>
  <c r="J6" i="3" s="1"/>
  <c r="L5" i="3"/>
  <c r="K5" i="3"/>
  <c r="H5" i="3"/>
  <c r="I5" i="3" s="1"/>
  <c r="J5" i="3" s="1"/>
  <c r="L4" i="3"/>
  <c r="K4" i="3"/>
  <c r="H4" i="3"/>
  <c r="I4" i="3" s="1"/>
  <c r="J4" i="3" s="1"/>
  <c r="L3" i="3"/>
  <c r="K3" i="3"/>
  <c r="H3" i="3"/>
  <c r="I3" i="3" s="1"/>
  <c r="J3" i="3" s="1"/>
  <c r="L2" i="3"/>
  <c r="K2" i="3"/>
  <c r="H2" i="3"/>
  <c r="I2" i="3" s="1"/>
  <c r="J2" i="3" s="1"/>
  <c r="L51" i="1" l="1"/>
  <c r="L50" i="1"/>
  <c r="L49" i="1"/>
  <c r="L48" i="1"/>
  <c r="L47" i="1"/>
  <c r="L46" i="1"/>
  <c r="L45" i="1"/>
  <c r="L44" i="1"/>
  <c r="Q43" i="1"/>
  <c r="L43" i="1"/>
  <c r="R42" i="1"/>
  <c r="Q42" i="1"/>
  <c r="L42" i="1"/>
  <c r="R41" i="1"/>
  <c r="Q41" i="1"/>
  <c r="L41" i="1"/>
  <c r="R40" i="1"/>
  <c r="Q40" i="1"/>
  <c r="L40" i="1"/>
  <c r="R39" i="1"/>
  <c r="Q39" i="1"/>
  <c r="L39" i="1"/>
  <c r="R38" i="1"/>
  <c r="Q38" i="1"/>
  <c r="L38" i="1"/>
  <c r="R37" i="1"/>
  <c r="Q37" i="1"/>
  <c r="L37" i="1"/>
  <c r="L36" i="1"/>
  <c r="L35" i="1"/>
  <c r="L34" i="1"/>
  <c r="S33" i="1"/>
  <c r="L33" i="1"/>
  <c r="S32" i="1"/>
  <c r="P32" i="1"/>
  <c r="L32" i="1"/>
  <c r="S31" i="1"/>
  <c r="L31" i="1"/>
  <c r="S30" i="1"/>
  <c r="R30" i="1"/>
  <c r="L30" i="1"/>
  <c r="S29" i="1"/>
  <c r="P29" i="1"/>
  <c r="L29" i="1"/>
  <c r="Q28" i="1"/>
  <c r="L28" i="1"/>
  <c r="R27" i="1"/>
  <c r="Q27" i="1"/>
  <c r="L27" i="1"/>
  <c r="Q26" i="1"/>
  <c r="P26" i="1"/>
  <c r="L26" i="1"/>
  <c r="R25" i="1"/>
  <c r="Q25" i="1"/>
  <c r="L25" i="1"/>
  <c r="Q24" i="1"/>
  <c r="L24" i="1"/>
  <c r="Q23" i="1"/>
  <c r="P23" i="1"/>
  <c r="L23" i="1"/>
  <c r="Q22" i="1"/>
  <c r="L22" i="1"/>
  <c r="R21" i="1"/>
  <c r="Q21" i="1"/>
  <c r="L21" i="1"/>
  <c r="R20" i="1"/>
  <c r="Q20" i="1"/>
  <c r="P20" i="1"/>
  <c r="L20" i="1"/>
  <c r="S25" i="1" s="1"/>
  <c r="Q19" i="1"/>
  <c r="L19" i="1"/>
  <c r="Q18" i="1"/>
  <c r="L18" i="1"/>
  <c r="R17" i="1"/>
  <c r="Q17" i="1"/>
  <c r="L17" i="1"/>
  <c r="P16" i="1"/>
  <c r="L16" i="1"/>
  <c r="Q15" i="1"/>
  <c r="Q16" i="1" s="1"/>
  <c r="L15" i="1"/>
  <c r="R14" i="1"/>
  <c r="L14" i="1"/>
  <c r="Q13" i="1"/>
  <c r="L13" i="1"/>
  <c r="R12" i="1"/>
  <c r="Q12" i="1"/>
  <c r="L12" i="1"/>
  <c r="Q11" i="1"/>
  <c r="L11" i="1"/>
  <c r="S10" i="1"/>
  <c r="P10" i="1"/>
  <c r="L10" i="1"/>
  <c r="S9" i="1"/>
  <c r="L9" i="1"/>
  <c r="S21" i="1" s="1"/>
  <c r="S8" i="1"/>
  <c r="R8" i="1" a="1"/>
  <c r="R8" i="1" s="1"/>
  <c r="Q8" i="1" a="1"/>
  <c r="Q8" i="1" s="1"/>
  <c r="L8" i="1"/>
  <c r="S7" i="1"/>
  <c r="Q7" i="1" a="1"/>
  <c r="Q7" i="1" s="1"/>
  <c r="P7" i="1"/>
  <c r="L7" i="1"/>
  <c r="S17" i="1" s="1"/>
  <c r="L6" i="1"/>
  <c r="S13" i="1" s="1"/>
  <c r="S5" i="1"/>
  <c r="Q5" i="1"/>
  <c r="L5" i="1"/>
  <c r="Q4" i="1"/>
  <c r="P4" i="1"/>
  <c r="L4" i="1"/>
  <c r="S3" i="1"/>
  <c r="R3" i="1" a="1"/>
  <c r="R3" i="1" s="1"/>
  <c r="Q3" i="1"/>
  <c r="L3" i="1"/>
  <c r="L2" i="1"/>
  <c r="S14" i="1" s="1"/>
  <c r="S20" i="1" l="1"/>
  <c r="S24" i="1"/>
  <c r="S15" i="1"/>
  <c r="S22" i="1"/>
  <c r="S16" i="1"/>
  <c r="S2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467981B-9FCA-4F76-9C76-293AF6929220}" keepAlive="1" name="Query - MIS_Data" description="Connection to the 'MIS_Data' query in the workbook." type="5" refreshedVersion="8" background="1" saveData="1">
    <dbPr connection="Provider=Microsoft.Mashup.OleDb.1;Data Source=$Workbook$;Location=MIS_Data;Extended Properties=&quot;&quot;" command="SELECT * FROM [MIS_Data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<sst xmlns="http://schemas.openxmlformats.org/spreadsheetml/2006/main" count="2703" uniqueCount="388">
  <si>
    <t xml:space="preserve">Order_ID </t>
  </si>
  <si>
    <t>Date</t>
  </si>
  <si>
    <t>Region</t>
  </si>
  <si>
    <t>Salesperson</t>
  </si>
  <si>
    <t>Product</t>
  </si>
  <si>
    <t>Category</t>
  </si>
  <si>
    <t>Units</t>
  </si>
  <si>
    <t>Unit_Price</t>
  </si>
  <si>
    <t>Customer_Type</t>
  </si>
  <si>
    <t>Payment_Mode</t>
  </si>
  <si>
    <t>Order_Status</t>
  </si>
  <si>
    <t>Total sales</t>
  </si>
  <si>
    <t>Column7</t>
  </si>
  <si>
    <t>Column6</t>
  </si>
  <si>
    <t>Column5</t>
  </si>
  <si>
    <t>Column1</t>
  </si>
  <si>
    <t>Column2</t>
  </si>
  <si>
    <t>Column3</t>
  </si>
  <si>
    <t>Column4</t>
  </si>
  <si>
    <t>Nashik</t>
  </si>
  <si>
    <t>Priya</t>
  </si>
  <si>
    <t>Laptop</t>
  </si>
  <si>
    <t>Electronics</t>
  </si>
  <si>
    <t>Retail</t>
  </si>
  <si>
    <t>UPI</t>
  </si>
  <si>
    <t>Cancelled</t>
  </si>
  <si>
    <t>Pune</t>
  </si>
  <si>
    <t>Rahul</t>
  </si>
  <si>
    <t>Printer</t>
  </si>
  <si>
    <t>Card</t>
  </si>
  <si>
    <t>Mumbai</t>
  </si>
  <si>
    <t>Rohan</t>
  </si>
  <si>
    <t>Bank Transfer</t>
  </si>
  <si>
    <t>Nagpur</t>
  </si>
  <si>
    <t>Amit</t>
  </si>
  <si>
    <t>Completed</t>
  </si>
  <si>
    <t>Corporate</t>
  </si>
  <si>
    <t>Pending</t>
  </si>
  <si>
    <t>avg of units</t>
  </si>
  <si>
    <t>Headphones</t>
  </si>
  <si>
    <t>Accessories</t>
  </si>
  <si>
    <t>Cash</t>
  </si>
  <si>
    <t>count of units</t>
  </si>
  <si>
    <t>Aurangabad</t>
  </si>
  <si>
    <t>Keyboard</t>
  </si>
  <si>
    <t>high</t>
  </si>
  <si>
    <t>sumif</t>
  </si>
  <si>
    <t>Mouse</t>
  </si>
  <si>
    <t>h</t>
  </si>
  <si>
    <t>min</t>
  </si>
  <si>
    <t>max</t>
  </si>
  <si>
    <t>sumifs</t>
  </si>
  <si>
    <t>Monitor</t>
  </si>
  <si>
    <t>total</t>
  </si>
  <si>
    <t>Neha</t>
  </si>
  <si>
    <t>countif</t>
  </si>
  <si>
    <t>count</t>
  </si>
  <si>
    <t>xlookup</t>
  </si>
  <si>
    <t>vlookup</t>
  </si>
  <si>
    <t>$A1</t>
  </si>
  <si>
    <t>$A2</t>
  </si>
  <si>
    <t>$A3</t>
  </si>
  <si>
    <t>$A4</t>
  </si>
  <si>
    <t>$A5</t>
  </si>
  <si>
    <t>$A6</t>
  </si>
  <si>
    <t>$A7</t>
  </si>
  <si>
    <t>$A8</t>
  </si>
  <si>
    <t>$A9</t>
  </si>
  <si>
    <t>$A10</t>
  </si>
  <si>
    <t>Order_ID</t>
  </si>
  <si>
    <t>Order_Date</t>
  </si>
  <si>
    <t>Delivery_Date</t>
  </si>
  <si>
    <t>Department</t>
  </si>
  <si>
    <t>Customer_Name</t>
  </si>
  <si>
    <t>City</t>
  </si>
  <si>
    <t>Email</t>
  </si>
  <si>
    <t>Total_Sales</t>
  </si>
  <si>
    <t>T2-0001</t>
  </si>
  <si>
    <t>Sneha</t>
  </si>
  <si>
    <t>Kiran Stores</t>
  </si>
  <si>
    <t>kiran.stores@example.com</t>
  </si>
  <si>
    <t>Wholesale</t>
  </si>
  <si>
    <t>T2-0002</t>
  </si>
  <si>
    <t>Aarav Enterprises</t>
  </si>
  <si>
    <t>aarav.enterprises@example.com</t>
  </si>
  <si>
    <t>T2-0003</t>
  </si>
  <si>
    <t>Bright Solutions</t>
  </si>
  <si>
    <t>bright.solutions@example.com</t>
  </si>
  <si>
    <t>T2-0004</t>
  </si>
  <si>
    <t>Office Supplies</t>
  </si>
  <si>
    <t>Notebook</t>
  </si>
  <si>
    <t>Shree Retail</t>
  </si>
  <si>
    <t>shree.retail@example.com</t>
  </si>
  <si>
    <t>T2-0005</t>
  </si>
  <si>
    <t>T2-0006</t>
  </si>
  <si>
    <t>Desk</t>
  </si>
  <si>
    <t>Nexus Pvt Ltd</t>
  </si>
  <si>
    <t>nexus.pvt.ltd@example.com</t>
  </si>
  <si>
    <t>T2-0007</t>
  </si>
  <si>
    <t>Home Appliances</t>
  </si>
  <si>
    <t>Mixer</t>
  </si>
  <si>
    <t>T2-0008</t>
  </si>
  <si>
    <t>Webcam</t>
  </si>
  <si>
    <t xml:space="preserve">  Shree Retail  </t>
  </si>
  <si>
    <t>T2-0009</t>
  </si>
  <si>
    <t>Urban Mart</t>
  </si>
  <si>
    <t>urban.mart@example.com</t>
  </si>
  <si>
    <t>T2-0010</t>
  </si>
  <si>
    <t>T2-0011</t>
  </si>
  <si>
    <t>T2-0012</t>
  </si>
  <si>
    <t>Tablet</t>
  </si>
  <si>
    <t>Metro Traders</t>
  </si>
  <si>
    <t>metro.traders@example.com</t>
  </si>
  <si>
    <t>T2-0013</t>
  </si>
  <si>
    <t>Returned</t>
  </si>
  <si>
    <t>T2-0014</t>
  </si>
  <si>
    <t>Microwave</t>
  </si>
  <si>
    <t>T2-0015</t>
  </si>
  <si>
    <t>T2-0016</t>
  </si>
  <si>
    <t>T2-0017</t>
  </si>
  <si>
    <t>T2-0018</t>
  </si>
  <si>
    <t>Sai Services</t>
  </si>
  <si>
    <t>sai.services@example.com</t>
  </si>
  <si>
    <t>T2-0019</t>
  </si>
  <si>
    <t>T2-0020</t>
  </si>
  <si>
    <t>T2-0021</t>
  </si>
  <si>
    <t>T2-0022</t>
  </si>
  <si>
    <t xml:space="preserve"> pune</t>
  </si>
  <si>
    <t>T2-0023</t>
  </si>
  <si>
    <t>Fan</t>
  </si>
  <si>
    <t>T2-0024</t>
  </si>
  <si>
    <t>T2-0025</t>
  </si>
  <si>
    <t>T2-0026</t>
  </si>
  <si>
    <t>Office Chair</t>
  </si>
  <si>
    <t>T2-0027</t>
  </si>
  <si>
    <t>T2-0028</t>
  </si>
  <si>
    <t>T2-0029</t>
  </si>
  <si>
    <t>Air Cooler</t>
  </si>
  <si>
    <t>T2-0030</t>
  </si>
  <si>
    <t>T2-0031</t>
  </si>
  <si>
    <t>T2-0032</t>
  </si>
  <si>
    <t>T2-0033</t>
  </si>
  <si>
    <t>T2-0034</t>
  </si>
  <si>
    <t>File Folder</t>
  </si>
  <si>
    <t>T2-0035</t>
  </si>
  <si>
    <t>T2-0036</t>
  </si>
  <si>
    <t xml:space="preserve">nexus.pvt.ltd@example.com </t>
  </si>
  <si>
    <t>T2-0037</t>
  </si>
  <si>
    <t>T2-0038</t>
  </si>
  <si>
    <t>T2-0039</t>
  </si>
  <si>
    <t>T2-0040</t>
  </si>
  <si>
    <t>T2-0041</t>
  </si>
  <si>
    <t>T2-0042</t>
  </si>
  <si>
    <t>T2-0043</t>
  </si>
  <si>
    <t>T2-0044</t>
  </si>
  <si>
    <t>T2-0045</t>
  </si>
  <si>
    <t>T2-0046</t>
  </si>
  <si>
    <t>T2-0047</t>
  </si>
  <si>
    <t>T2-0048</t>
  </si>
  <si>
    <t>T2-0049</t>
  </si>
  <si>
    <t>T2-0050</t>
  </si>
  <si>
    <t xml:space="preserve"> Priya</t>
  </si>
  <si>
    <t>T2-0051</t>
  </si>
  <si>
    <t>T2-0052</t>
  </si>
  <si>
    <t>T2-0053</t>
  </si>
  <si>
    <t>T2-0054</t>
  </si>
  <si>
    <t>T2-0055</t>
  </si>
  <si>
    <t>T2-0056</t>
  </si>
  <si>
    <t>T2-0057</t>
  </si>
  <si>
    <t>T2-0058</t>
  </si>
  <si>
    <t>T2-0059</t>
  </si>
  <si>
    <t>T2-0060</t>
  </si>
  <si>
    <t>T2-0061</t>
  </si>
  <si>
    <t>T2-0062</t>
  </si>
  <si>
    <t>T2-0063</t>
  </si>
  <si>
    <t>T2-0064</t>
  </si>
  <si>
    <t>T2-0065</t>
  </si>
  <si>
    <t>T2-0066</t>
  </si>
  <si>
    <t>T2-0067</t>
  </si>
  <si>
    <t>T2-0068</t>
  </si>
  <si>
    <t>T2-0069</t>
  </si>
  <si>
    <t>T2-0070</t>
  </si>
  <si>
    <t>T2-0071</t>
  </si>
  <si>
    <t>T2-0072</t>
  </si>
  <si>
    <t>T2-0073</t>
  </si>
  <si>
    <t>T2-0074</t>
  </si>
  <si>
    <t>T2-0075</t>
  </si>
  <si>
    <t>T2-0076</t>
  </si>
  <si>
    <t>T2-0077</t>
  </si>
  <si>
    <t>T2-0078</t>
  </si>
  <si>
    <t>T2-0079</t>
  </si>
  <si>
    <t>T2-0080</t>
  </si>
  <si>
    <t>T2-0081</t>
  </si>
  <si>
    <t>T2-0082</t>
  </si>
  <si>
    <t>T2-0083</t>
  </si>
  <si>
    <t>T2-0084</t>
  </si>
  <si>
    <t>T2-0085</t>
  </si>
  <si>
    <t>T2-0086</t>
  </si>
  <si>
    <t>T2-0087</t>
  </si>
  <si>
    <t>T2-0088</t>
  </si>
  <si>
    <t>T2-0089</t>
  </si>
  <si>
    <t>T2-0090</t>
  </si>
  <si>
    <t>T2-0091</t>
  </si>
  <si>
    <t>T2-0092</t>
  </si>
  <si>
    <t>T2-0093</t>
  </si>
  <si>
    <t>T2-0094</t>
  </si>
  <si>
    <t>T2-0095</t>
  </si>
  <si>
    <t>T2-0096</t>
  </si>
  <si>
    <t>T2-0097</t>
  </si>
  <si>
    <t>T2-0098</t>
  </si>
  <si>
    <t>T2-0099</t>
  </si>
  <si>
    <t>T2-0100</t>
  </si>
  <si>
    <t>T2-0101</t>
  </si>
  <si>
    <t>T2-0102</t>
  </si>
  <si>
    <t xml:space="preserve">Mumbai </t>
  </si>
  <si>
    <t>T2-0103</t>
  </si>
  <si>
    <t>T2-0104</t>
  </si>
  <si>
    <t>T2-0105</t>
  </si>
  <si>
    <t>T2-0106</t>
  </si>
  <si>
    <t>T2-0107</t>
  </si>
  <si>
    <t>T2-0108</t>
  </si>
  <si>
    <t>T2-0109</t>
  </si>
  <si>
    <t>T2-0110</t>
  </si>
  <si>
    <t>T2-0111</t>
  </si>
  <si>
    <t>T2-0112</t>
  </si>
  <si>
    <t>T2-0113</t>
  </si>
  <si>
    <t>T2-0114</t>
  </si>
  <si>
    <t>T2-0115</t>
  </si>
  <si>
    <t>T2-0116</t>
  </si>
  <si>
    <t>T2-0117</t>
  </si>
  <si>
    <t>T2-0118</t>
  </si>
  <si>
    <t>T2-0119</t>
  </si>
  <si>
    <t>T2-0120</t>
  </si>
  <si>
    <t>T2-0121</t>
  </si>
  <si>
    <t>T2-0122</t>
  </si>
  <si>
    <t>T2-0123</t>
  </si>
  <si>
    <t>T2-0124</t>
  </si>
  <si>
    <t>T2-0125</t>
  </si>
  <si>
    <t>T2-0126</t>
  </si>
  <si>
    <t>T2-0127</t>
  </si>
  <si>
    <t>T2-0128</t>
  </si>
  <si>
    <t>T2-0129</t>
  </si>
  <si>
    <t>T2-0130</t>
  </si>
  <si>
    <t>T2-0131</t>
  </si>
  <si>
    <t>T2-0132</t>
  </si>
  <si>
    <t>T2-0133</t>
  </si>
  <si>
    <t>T2-0134</t>
  </si>
  <si>
    <t>T2-0135</t>
  </si>
  <si>
    <t>T2-0136</t>
  </si>
  <si>
    <t>T2-0137</t>
  </si>
  <si>
    <t>T2-0138</t>
  </si>
  <si>
    <t>T2-0139</t>
  </si>
  <si>
    <t>T2-0140</t>
  </si>
  <si>
    <t>T2-0141</t>
  </si>
  <si>
    <t>T2-0142</t>
  </si>
  <si>
    <t>T2-0143</t>
  </si>
  <si>
    <t>T2-0144</t>
  </si>
  <si>
    <t xml:space="preserve">Laptop </t>
  </si>
  <si>
    <t>T2-0145</t>
  </si>
  <si>
    <t>T2-0146</t>
  </si>
  <si>
    <t>T2-0147</t>
  </si>
  <si>
    <t>T2-0148</t>
  </si>
  <si>
    <t>T2-0149</t>
  </si>
  <si>
    <t>T2-0150</t>
  </si>
  <si>
    <t>T2-0151</t>
  </si>
  <si>
    <t>T2-0152</t>
  </si>
  <si>
    <t>T2-0153</t>
  </si>
  <si>
    <t>T2-0154</t>
  </si>
  <si>
    <t>T2-0155</t>
  </si>
  <si>
    <t>T2-0156</t>
  </si>
  <si>
    <t>T2-0157</t>
  </si>
  <si>
    <t>T2-0158</t>
  </si>
  <si>
    <t>T2-0159</t>
  </si>
  <si>
    <t>T2-0160</t>
  </si>
  <si>
    <t xml:space="preserve">Corporate </t>
  </si>
  <si>
    <t>T2-0161</t>
  </si>
  <si>
    <t>T2-0162</t>
  </si>
  <si>
    <t>T2-0163</t>
  </si>
  <si>
    <t>T2-0164</t>
  </si>
  <si>
    <t>T2-0165</t>
  </si>
  <si>
    <t>T2-0166</t>
  </si>
  <si>
    <t>T2-0167</t>
  </si>
  <si>
    <t>T2-0168</t>
  </si>
  <si>
    <t>T2-0169</t>
  </si>
  <si>
    <t>T2-0170</t>
  </si>
  <si>
    <t>T2-0171</t>
  </si>
  <si>
    <t>T2-0172</t>
  </si>
  <si>
    <t>T2-0173</t>
  </si>
  <si>
    <t>T2-0174</t>
  </si>
  <si>
    <t>T2-0175</t>
  </si>
  <si>
    <t>T2-0176</t>
  </si>
  <si>
    <t>T2-0177</t>
  </si>
  <si>
    <t>T2-0178</t>
  </si>
  <si>
    <t>T2-0179</t>
  </si>
  <si>
    <t>row</t>
  </si>
  <si>
    <t>order_id</t>
  </si>
  <si>
    <t>customer_name</t>
  </si>
  <si>
    <t>city</t>
  </si>
  <si>
    <t>product</t>
  </si>
  <si>
    <t>units</t>
  </si>
  <si>
    <t>clean_name</t>
  </si>
  <si>
    <t>lower</t>
  </si>
  <si>
    <t>upper</t>
  </si>
  <si>
    <t>cleancity</t>
  </si>
  <si>
    <t>clean_product</t>
  </si>
  <si>
    <t>Rahul sharma</t>
  </si>
  <si>
    <t>pune</t>
  </si>
  <si>
    <t>rahul@exp.com</t>
  </si>
  <si>
    <t>laptop</t>
  </si>
  <si>
    <t>Priya mehta</t>
  </si>
  <si>
    <t>priya@exp.com</t>
  </si>
  <si>
    <t>monitor</t>
  </si>
  <si>
    <t>Amit patel</t>
  </si>
  <si>
    <t>amit@exp.com</t>
  </si>
  <si>
    <t>keyboard</t>
  </si>
  <si>
    <t>Neha joshi</t>
  </si>
  <si>
    <t>naha@exp.com</t>
  </si>
  <si>
    <t>mouse</t>
  </si>
  <si>
    <t>Roshani kumari</t>
  </si>
  <si>
    <t>Sneha shah</t>
  </si>
  <si>
    <t>sneha@exp.com</t>
  </si>
  <si>
    <t>headphones</t>
  </si>
  <si>
    <t>Vikas more</t>
  </si>
  <si>
    <t>viaksr@exp.com</t>
  </si>
  <si>
    <t>printer</t>
  </si>
  <si>
    <t>Annjali rao</t>
  </si>
  <si>
    <t>anj@exp.com</t>
  </si>
  <si>
    <t>Karan Deshmukh</t>
  </si>
  <si>
    <t>karn@exp.com</t>
  </si>
  <si>
    <t>Meera joshi</t>
  </si>
  <si>
    <t>mr@exp.com</t>
  </si>
  <si>
    <t>Arjun kale</t>
  </si>
  <si>
    <t>arjr@exp.com</t>
  </si>
  <si>
    <t>Pooja nair</t>
  </si>
  <si>
    <t>pool@exp.com</t>
  </si>
  <si>
    <t>Ravi shah</t>
  </si>
  <si>
    <t>ravi@exp.com</t>
  </si>
  <si>
    <t>isha patil</t>
  </si>
  <si>
    <t>ishal@exp.com</t>
  </si>
  <si>
    <t>Aman gupta</t>
  </si>
  <si>
    <t>amanl@exp.com</t>
  </si>
  <si>
    <t>kavya rao</t>
  </si>
  <si>
    <t>kavl@exp.com</t>
  </si>
  <si>
    <t>dev joshi</t>
  </si>
  <si>
    <t>devl@exp.com</t>
  </si>
  <si>
    <t>Nitin more</t>
  </si>
  <si>
    <t>niyti@exp.com</t>
  </si>
  <si>
    <t>simran kaur</t>
  </si>
  <si>
    <t>simrl@exp.com</t>
  </si>
  <si>
    <t>unknown@exp.com</t>
  </si>
  <si>
    <t xml:space="preserve">Raj verma </t>
  </si>
  <si>
    <t>raj@exp.com</t>
  </si>
  <si>
    <t>Tina shah</t>
  </si>
  <si>
    <t>Mohit jain</t>
  </si>
  <si>
    <t>mohit@exp.com</t>
  </si>
  <si>
    <t>asha patil</t>
  </si>
  <si>
    <t>asha@exp.com</t>
  </si>
  <si>
    <t>Grand Total</t>
  </si>
  <si>
    <t>Sum of Units</t>
  </si>
  <si>
    <t>Sum of Total_Sales</t>
  </si>
  <si>
    <t>Row Labels</t>
  </si>
  <si>
    <t>Column Labels</t>
  </si>
  <si>
    <t>pivot 9</t>
  </si>
  <si>
    <t>(Multiple Items)</t>
  </si>
  <si>
    <t>Pivot 8</t>
  </si>
  <si>
    <t>Count of Order_ID</t>
  </si>
  <si>
    <t>pivot 7</t>
  </si>
  <si>
    <t>pivot 5</t>
  </si>
  <si>
    <t>Average of Unit_Price</t>
  </si>
  <si>
    <t>pivot 4</t>
  </si>
  <si>
    <t>pivot 2</t>
  </si>
  <si>
    <t>pivot 6</t>
  </si>
  <si>
    <t>pivot 3</t>
  </si>
  <si>
    <t>PIVOT TABLE</t>
  </si>
  <si>
    <t>pivot 1</t>
  </si>
  <si>
    <t>.</t>
  </si>
  <si>
    <t>returned</t>
  </si>
  <si>
    <t>delivered</t>
  </si>
  <si>
    <t>date diff</t>
  </si>
  <si>
    <t>day</t>
  </si>
  <si>
    <t>month</t>
  </si>
  <si>
    <t>year</t>
  </si>
  <si>
    <t>current date</t>
  </si>
  <si>
    <t>nstatus</t>
  </si>
  <si>
    <t>Delivery_date</t>
  </si>
  <si>
    <t>Order_date</t>
  </si>
  <si>
    <t>Order id</t>
  </si>
  <si>
    <t>Data and time functions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</si>
</sst>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dd\/mm\/yyyy"/>
    <numFmt numFmtId="166" formatCode="&quot;₹&quot;\ #,##0.00"/>
  </numFmts>
  <fonts count="10">
    <font>
      <sz val="11"/>
      <name val="Calibri"/>
      <scheme val="minor"/>
    </font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  <scheme val="minor"/>
    </font>
    <font>
      <sz val="11"/>
      <name val="Calibri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scheme val="minor"/>
    </font>
    <font>
      <b/>
      <sz val="24"/>
      <color theme="1"/>
      <name val="Calibri"/>
      <family val="2"/>
      <scheme val="minor"/>
    </font>
    <font>
      <b/>
      <sz val="24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5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164" fontId="4" fillId="0" borderId="0" xfId="0" applyNumberFormat="1" applyFont="1"/>
    <xf numFmtId="0" fontId="5" fillId="0" borderId="0" xfId="0" applyFont="1"/>
    <xf numFmtId="165" fontId="0" fillId="0" borderId="0" xfId="0" applyNumberFormat="1"/>
    <xf numFmtId="14" fontId="0" fillId="0" borderId="0" xfId="0" applyNumberFormat="1"/>
    <xf numFmtId="0" fontId="6" fillId="0" borderId="0" xfId="1"/>
    <xf numFmtId="166" fontId="0" fillId="0" borderId="0" xfId="0" applyNumberFormat="1"/>
    <xf numFmtId="0" fontId="7" fillId="4" borderId="3" xfId="0" applyFont="1" applyFill="1" applyBorder="1"/>
    <xf numFmtId="0" fontId="7" fillId="4" borderId="3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7" fillId="4" borderId="4" xfId="0" applyFont="1" applyFill="1" applyBorder="1"/>
    <xf numFmtId="0" fontId="0" fillId="0" borderId="0" xfId="0" pivotButton="1"/>
    <xf numFmtId="0" fontId="0" fillId="0" borderId="0" xfId="0" applyAlignment="1">
      <alignment horizontal="left" indent="1"/>
    </xf>
    <xf numFmtId="166" fontId="3" fillId="0" borderId="0" xfId="0" applyNumberFormat="1" applyFont="1"/>
    <xf numFmtId="0" fontId="8" fillId="0" borderId="0" xfId="0" applyFont="1"/>
    <xf numFmtId="165" fontId="1" fillId="0" borderId="2" xfId="0" applyNumberFormat="1" applyFont="1" applyBorder="1"/>
    <xf numFmtId="0" fontId="1" fillId="3" borderId="0" xfId="0" applyFont="1" applyFill="1"/>
    <xf numFmtId="14" fontId="1" fillId="2" borderId="2" xfId="0" applyNumberFormat="1" applyFont="1" applyFill="1" applyBorder="1"/>
    <xf numFmtId="165" fontId="1" fillId="2" borderId="2" xfId="0" applyNumberFormat="1" applyFont="1" applyFill="1" applyBorder="1"/>
    <xf numFmtId="0" fontId="1" fillId="0" borderId="0" xfId="0" applyFont="1"/>
    <xf numFmtId="14" fontId="1" fillId="0" borderId="2" xfId="0" applyNumberFormat="1" applyFont="1" applyBorder="1"/>
    <xf numFmtId="0" fontId="0" fillId="5" borderId="0" xfId="0" applyFill="1"/>
    <xf numFmtId="0" fontId="9" fillId="5" borderId="0" xfId="0" applyFont="1" applyFill="1"/>
  </cellXfs>
  <cellStyles count="2">
    <cellStyle name="Hyperlink 2" xfId="1" xr:uid="{26E25712-E388-4D21-83E4-10133E2B90DE}"/>
    <cellStyle name="Normal" xfId="0" builtinId="0"/>
  </cellStyles>
  <dxfs count="41"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3" formatCode="#,##0"/>
    </dxf>
    <dxf>
      <numFmt numFmtId="166" formatCode="&quot;₹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65" formatCode="dd\/mm\/yyyy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yyyy\-mm\-d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dd\/mm\/yyyy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[excel.practice.xlsx]data summary!PivotTable3</c:name>
    <c:fmtId val="1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 summary'!$I$5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'data summary'!$H$6:$H$13</c:f>
              <c:strCache>
                <c:ptCount val="7"/>
                <c:pt idx="0">
                  <c:v>Rahul</c:v>
                </c:pt>
                <c:pt idx="1">
                  <c:v>Priya</c:v>
                </c:pt>
                <c:pt idx="2">
                  <c:v>Sneha</c:v>
                </c:pt>
                <c:pt idx="3">
                  <c:v>Rohan</c:v>
                </c:pt>
                <c:pt idx="4">
                  <c:v>Amit</c:v>
                </c:pt>
                <c:pt idx="5">
                  <c:v>Neha</c:v>
                </c:pt>
                <c:pt idx="6">
                  <c:v> Priya</c:v>
                </c:pt>
              </c:strCache>
            </c:strRef>
          </c:cat>
          <c:val>
            <c:numRef>
              <c:f>'data summary'!$I$6:$I$13</c:f>
              <c:numCache>
                <c:formatCode>"₹"\ #,##0.00</c:formatCode>
                <c:ptCount val="7"/>
                <c:pt idx="0">
                  <c:v>6262600</c:v>
                </c:pt>
                <c:pt idx="1">
                  <c:v>5959560</c:v>
                </c:pt>
                <c:pt idx="2">
                  <c:v>5427580</c:v>
                </c:pt>
                <c:pt idx="3">
                  <c:v>5424200</c:v>
                </c:pt>
                <c:pt idx="4">
                  <c:v>4800740</c:v>
                </c:pt>
                <c:pt idx="5">
                  <c:v>2023400</c:v>
                </c:pt>
                <c:pt idx="6">
                  <c:v>174000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04-42E3-AE81-226A697816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212880"/>
        <c:axId val="722296047"/>
      </c:barChart>
      <c:catAx>
        <c:axId val="92212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296047"/>
        <c:crosses val="autoZero"/>
        <c:auto val="1"/>
        <c:lblAlgn val="ctr"/>
        <c:lblOffset val="100"/>
        <c:noMultiLvlLbl val="0"/>
      </c:catAx>
      <c:valAx>
        <c:axId val="72229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212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[excel.practice.xlsx]data summary!PivotTable3</c:name>
    <c:fmtId val="1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41779418197725282"/>
          <c:y val="0.28643299795858851"/>
          <c:w val="0.48999059492563429"/>
          <c:h val="0.629315762613006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'data summary'!$I$5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'data summary'!$H$6:$H$13</c:f>
              <c:strCache>
                <c:ptCount val="7"/>
                <c:pt idx="0">
                  <c:v>Rahul</c:v>
                </c:pt>
                <c:pt idx="1">
                  <c:v>Priya</c:v>
                </c:pt>
                <c:pt idx="2">
                  <c:v>Sneha</c:v>
                </c:pt>
                <c:pt idx="3">
                  <c:v>Rohan</c:v>
                </c:pt>
                <c:pt idx="4">
                  <c:v>Amit</c:v>
                </c:pt>
                <c:pt idx="5">
                  <c:v>Neha</c:v>
                </c:pt>
                <c:pt idx="6">
                  <c:v> Priya</c:v>
                </c:pt>
              </c:strCache>
            </c:strRef>
          </c:cat>
          <c:val>
            <c:numRef>
              <c:f>'data summary'!$I$6:$I$13</c:f>
              <c:numCache>
                <c:formatCode>"₹"\ #,##0.00</c:formatCode>
                <c:ptCount val="7"/>
                <c:pt idx="0">
                  <c:v>6262600</c:v>
                </c:pt>
                <c:pt idx="1">
                  <c:v>5959560</c:v>
                </c:pt>
                <c:pt idx="2">
                  <c:v>5427580</c:v>
                </c:pt>
                <c:pt idx="3">
                  <c:v>5424200</c:v>
                </c:pt>
                <c:pt idx="4">
                  <c:v>4800740</c:v>
                </c:pt>
                <c:pt idx="5">
                  <c:v>2023400</c:v>
                </c:pt>
                <c:pt idx="6">
                  <c:v>174000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91-485D-8895-CA502ADBDA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67448671"/>
        <c:axId val="722352687"/>
      </c:barChart>
      <c:catAx>
        <c:axId val="7674486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352687"/>
        <c:crosses val="autoZero"/>
        <c:auto val="1"/>
        <c:lblAlgn val="ctr"/>
        <c:lblOffset val="100"/>
        <c:noMultiLvlLbl val="0"/>
      </c:catAx>
      <c:valAx>
        <c:axId val="722352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448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[excel.practice.xlsx]data summary!PivotTable5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0259341741584677"/>
          <c:y val="0.30216392940959402"/>
          <c:w val="0.3784052513781529"/>
          <c:h val="0.61210693415957318"/>
        </c:manualLayout>
      </c:layout>
      <c:doughnutChart>
        <c:varyColors val="1"/>
        <c:ser>
          <c:idx val="0"/>
          <c:order val="0"/>
          <c:tx>
            <c:strRef>
              <c:f>'data summary'!$J$19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981-4C5F-A058-F15A008680D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981-4C5F-A058-F15A008680D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981-4C5F-A058-F15A008680D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981-4C5F-A058-F15A008680D1}"/>
              </c:ext>
            </c:extLst>
          </c:dPt>
          <c:cat>
            <c:strRef>
              <c:f>'data summary'!$I$20:$I$24</c:f>
              <c:strCache>
                <c:ptCount val="4"/>
                <c:pt idx="0">
                  <c:v>Cancelled</c:v>
                </c:pt>
                <c:pt idx="1">
                  <c:v>Completed</c:v>
                </c:pt>
                <c:pt idx="2">
                  <c:v>Pending</c:v>
                </c:pt>
                <c:pt idx="3">
                  <c:v>Returned</c:v>
                </c:pt>
              </c:strCache>
            </c:strRef>
          </c:cat>
          <c:val>
            <c:numRef>
              <c:f>'data summary'!$J$20:$J$24</c:f>
              <c:numCache>
                <c:formatCode>General</c:formatCode>
                <c:ptCount val="4"/>
                <c:pt idx="0">
                  <c:v>20</c:v>
                </c:pt>
                <c:pt idx="1">
                  <c:v>111</c:v>
                </c:pt>
                <c:pt idx="2">
                  <c:v>31</c:v>
                </c:pt>
                <c:pt idx="3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981-4C5F-A058-F15A008680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[excel.practice.xlsx]data summary!PivotTable1</c:name>
    <c:fmtId val="1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'data summary'!$B$3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'data summary'!$A$4:$A$10</c:f>
              <c:strCache>
                <c:ptCount val="6"/>
                <c:pt idx="0">
                  <c:v>Aurangabad</c:v>
                </c:pt>
                <c:pt idx="1">
                  <c:v>Mumbai</c:v>
                </c:pt>
                <c:pt idx="2">
                  <c:v>Mumbai </c:v>
                </c:pt>
                <c:pt idx="3">
                  <c:v>Nagpur</c:v>
                </c:pt>
                <c:pt idx="4">
                  <c:v>Nashik</c:v>
                </c:pt>
                <c:pt idx="5">
                  <c:v>Pune</c:v>
                </c:pt>
              </c:strCache>
            </c:strRef>
          </c:cat>
          <c:val>
            <c:numRef>
              <c:f>'data summary'!$B$4:$B$10</c:f>
              <c:numCache>
                <c:formatCode>General</c:formatCode>
                <c:ptCount val="6"/>
                <c:pt idx="0">
                  <c:v>5832400</c:v>
                </c:pt>
                <c:pt idx="1">
                  <c:v>12757440</c:v>
                </c:pt>
                <c:pt idx="2">
                  <c:v>31200</c:v>
                </c:pt>
                <c:pt idx="3">
                  <c:v>4158480</c:v>
                </c:pt>
                <c:pt idx="4">
                  <c:v>3303340</c:v>
                </c:pt>
                <c:pt idx="5">
                  <c:v>3989220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F5-43C1-848D-353515AC52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31022239"/>
        <c:axId val="722334927"/>
        <c:axId val="0"/>
      </c:bar3DChart>
      <c:catAx>
        <c:axId val="2031022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334927"/>
        <c:crosses val="autoZero"/>
        <c:auto val="1"/>
        <c:lblAlgn val="ctr"/>
        <c:lblOffset val="100"/>
        <c:noMultiLvlLbl val="0"/>
      </c:catAx>
      <c:valAx>
        <c:axId val="722334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022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[excel.practice.xlsx]data summary!PivotTable1</c:name>
    <c:fmtId val="1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7.3697265431694789E-2"/>
          <c:y val="0.28167485543798182"/>
          <c:w val="0.63224419779108088"/>
          <c:h val="0.63840911302853653"/>
        </c:manualLayout>
      </c:layout>
      <c:pie3DChart>
        <c:varyColors val="1"/>
        <c:ser>
          <c:idx val="0"/>
          <c:order val="0"/>
          <c:tx>
            <c:strRef>
              <c:f>'data summary'!$B$3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4E9-4305-A9D1-244EB77C178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4E9-4305-A9D1-244EB77C178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4E9-4305-A9D1-244EB77C178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4E9-4305-A9D1-244EB77C178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4E9-4305-A9D1-244EB77C178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4E9-4305-A9D1-244EB77C178B}"/>
              </c:ext>
            </c:extLst>
          </c:dPt>
          <c:cat>
            <c:strRef>
              <c:f>'data summary'!$A$4:$A$10</c:f>
              <c:strCache>
                <c:ptCount val="6"/>
                <c:pt idx="0">
                  <c:v>Aurangabad</c:v>
                </c:pt>
                <c:pt idx="1">
                  <c:v>Mumbai</c:v>
                </c:pt>
                <c:pt idx="2">
                  <c:v>Mumbai </c:v>
                </c:pt>
                <c:pt idx="3">
                  <c:v>Nagpur</c:v>
                </c:pt>
                <c:pt idx="4">
                  <c:v>Nashik</c:v>
                </c:pt>
                <c:pt idx="5">
                  <c:v>Pune</c:v>
                </c:pt>
              </c:strCache>
            </c:strRef>
          </c:cat>
          <c:val>
            <c:numRef>
              <c:f>'data summary'!$B$4:$B$10</c:f>
              <c:numCache>
                <c:formatCode>General</c:formatCode>
                <c:ptCount val="6"/>
                <c:pt idx="0">
                  <c:v>5832400</c:v>
                </c:pt>
                <c:pt idx="1">
                  <c:v>12757440</c:v>
                </c:pt>
                <c:pt idx="2">
                  <c:v>31200</c:v>
                </c:pt>
                <c:pt idx="3">
                  <c:v>4158480</c:v>
                </c:pt>
                <c:pt idx="4">
                  <c:v>3303340</c:v>
                </c:pt>
                <c:pt idx="5">
                  <c:v>3989220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4E9-4305-A9D1-244EB77C17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1154546</xdr:colOff>
      <xdr:row>34</xdr:row>
      <xdr:rowOff>148553</xdr:rowOff>
    </xdr:from>
    <xdr:to>
      <xdr:col>17</xdr:col>
      <xdr:colOff>515698</xdr:colOff>
      <xdr:row>49</xdr:row>
      <xdr:rowOff>120843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837A03-5504-41ED-9DA5-5B64FB56A6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1216122</xdr:colOff>
      <xdr:row>52</xdr:row>
      <xdr:rowOff>56188</xdr:rowOff>
    </xdr:from>
    <xdr:to>
      <xdr:col>20</xdr:col>
      <xdr:colOff>561880</xdr:colOff>
      <xdr:row>68</xdr:row>
      <xdr:rowOff>61575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358C0B3-0C60-448F-8E74-F0348560C3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484909</xdr:colOff>
      <xdr:row>73</xdr:row>
      <xdr:rowOff>23091</xdr:rowOff>
    </xdr:from>
    <xdr:to>
      <xdr:col>10</xdr:col>
      <xdr:colOff>761999</xdr:colOff>
      <xdr:row>83</xdr:row>
      <xdr:rowOff>7696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9BCDC92-A149-47BA-9EC2-7036592298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38485</xdr:colOff>
      <xdr:row>85</xdr:row>
      <xdr:rowOff>92367</xdr:rowOff>
    </xdr:from>
    <xdr:to>
      <xdr:col>4</xdr:col>
      <xdr:colOff>654243</xdr:colOff>
      <xdr:row>102</xdr:row>
      <xdr:rowOff>169335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2D8F24B-D902-4809-9488-4DB77C2282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592665</xdr:colOff>
      <xdr:row>70</xdr:row>
      <xdr:rowOff>94671</xdr:rowOff>
    </xdr:from>
    <xdr:to>
      <xdr:col>6</xdr:col>
      <xdr:colOff>407938</xdr:colOff>
      <xdr:row>83</xdr:row>
      <xdr:rowOff>76968</xdr:rowOff>
    </xdr:to>
    <xdr:graphicFrame macro="">
      <xdr:nvGraphicFramePr>
        <xdr:cNvPr id="6" name="region-wise total sales">
          <a:extLst>
            <a:ext uri="{FF2B5EF4-FFF2-40B4-BE49-F238E27FC236}">
              <a16:creationId xmlns:a16="http://schemas.microsoft.com/office/drawing/2014/main" id="{F3FF895B-EE69-445C-8B06-435E900A85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sales%20and%20mis%20report%20mini%20project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RANSH OO7" refreshedDate="46280.454634027781" createdVersion="8" refreshedVersion="8" minRefreshableVersion="3" recordCount="180" xr:uid="{DC44B22B-DBA3-4670-9C8D-D169296846A8}">
  <cacheSource type="worksheet">
    <worksheetSource name="MIS_Data" r:id="rId2"/>
  </cacheSource>
  <cacheFields count="16">
    <cacheField name="Order_ID" numFmtId="0">
      <sharedItems/>
    </cacheField>
    <cacheField name="Order_Date" numFmtId="0">
      <sharedItems containsSemiMixedTypes="0" containsString="0" containsNumber="1" containsInteger="1" minValue="46024" maxValue="46294" count="129">
        <n v="46163"/>
        <n v="46134"/>
        <n v="46239"/>
        <n v="46258"/>
        <n v="46139"/>
        <n v="46059"/>
        <n v="46051"/>
        <n v="46257"/>
        <n v="46093"/>
        <n v="46218"/>
        <n v="46173"/>
        <n v="46124"/>
        <n v="46145"/>
        <n v="46266"/>
        <n v="46287"/>
        <n v="46053"/>
        <n v="46265"/>
        <n v="46073"/>
        <n v="46150"/>
        <n v="46271"/>
        <n v="46272"/>
        <n v="46267"/>
        <n v="46149"/>
        <n v="46158"/>
        <n v="46132"/>
        <n v="46176"/>
        <n v="46105"/>
        <n v="46212"/>
        <n v="46075"/>
        <n v="46193"/>
        <n v="46037"/>
        <n v="46220"/>
        <n v="46086"/>
        <n v="46217"/>
        <n v="46187"/>
        <n v="46143"/>
        <n v="46122"/>
        <n v="46113"/>
        <n v="46251"/>
        <n v="46169"/>
        <n v="46235"/>
        <n v="46026"/>
        <n v="46242"/>
        <n v="46238"/>
        <n v="46125"/>
        <n v="46081"/>
        <n v="46147"/>
        <n v="46246"/>
        <n v="46276"/>
        <n v="46120"/>
        <n v="46070"/>
        <n v="46203"/>
        <n v="46270"/>
        <n v="46050"/>
        <n v="46049"/>
        <n v="46083"/>
        <n v="46111"/>
        <n v="46167"/>
        <n v="46159"/>
        <n v="46229"/>
        <n v="46033"/>
        <n v="46274"/>
        <n v="46170"/>
        <n v="46259"/>
        <n v="46090"/>
        <n v="46231"/>
        <n v="46282"/>
        <n v="46074"/>
        <n v="46226"/>
        <n v="46146"/>
        <n v="46103"/>
        <n v="46048"/>
        <n v="46043"/>
        <n v="46262"/>
        <n v="46190"/>
        <n v="46275"/>
        <n v="46211"/>
        <n v="46098"/>
        <n v="46206"/>
        <n v="46208"/>
        <n v="46228"/>
        <n v="46189"/>
        <n v="46233"/>
        <n v="46269"/>
        <n v="46095"/>
        <n v="46249"/>
        <n v="46135"/>
        <n v="46044"/>
        <n v="46230"/>
        <n v="46201"/>
        <n v="46178"/>
        <n v="46069"/>
        <n v="46247"/>
        <n v="46191"/>
        <n v="46223"/>
        <n v="46174"/>
        <n v="46151"/>
        <n v="46285"/>
        <n v="46064"/>
        <n v="46264"/>
        <n v="46286"/>
        <n v="46291"/>
        <n v="46221"/>
        <n v="46196"/>
        <n v="46104"/>
        <n v="46039"/>
        <n v="46165"/>
        <n v="46186"/>
        <n v="46137"/>
        <n v="46181"/>
        <n v="46101"/>
        <n v="46087"/>
        <n v="46195"/>
        <n v="46171"/>
        <n v="46219"/>
        <n v="46210"/>
        <n v="46281"/>
        <n v="46094"/>
        <n v="46031"/>
        <n v="46268"/>
        <n v="46100"/>
        <n v="46085"/>
        <n v="46154"/>
        <n v="46294"/>
        <n v="46042"/>
        <n v="46194"/>
        <n v="46180"/>
        <n v="46024"/>
        <n v="46091"/>
      </sharedItems>
    </cacheField>
    <cacheField name="Delivery_Date" numFmtId="0">
      <sharedItems containsSemiMixedTypes="0" containsString="0" containsNumber="1" containsInteger="1" minValue="46032" maxValue="46298"/>
    </cacheField>
    <cacheField name="Region" numFmtId="0">
      <sharedItems count="6">
        <s v="Mumbai"/>
        <s v="Aurangabad"/>
        <s v="Nagpur"/>
        <s v="Nashik"/>
        <s v="Pune"/>
        <s v="Mumbai "/>
      </sharedItems>
    </cacheField>
    <cacheField name="Salesperson" numFmtId="0">
      <sharedItems count="7">
        <s v="Sneha"/>
        <s v="Priya"/>
        <s v="Rahul"/>
        <s v="Neha"/>
        <s v="Amit"/>
        <s v="Rohan"/>
        <s v=" Priya"/>
      </sharedItems>
    </cacheField>
    <cacheField name="Department" numFmtId="0">
      <sharedItems count="4">
        <s v="Electronics"/>
        <s v="Office Supplies"/>
        <s v="Home Appliances"/>
        <s v="Accessories"/>
      </sharedItems>
    </cacheField>
    <cacheField name="Product" numFmtId="0">
      <sharedItems count="17">
        <s v="Laptop"/>
        <s v="Monitor"/>
        <s v="Notebook"/>
        <s v="Desk"/>
        <s v="Mixer"/>
        <s v="Webcam"/>
        <s v="Headphones"/>
        <s v="Keyboard"/>
        <s v="Tablet"/>
        <s v="Microwave"/>
        <s v="Fan"/>
        <s v="Office Chair"/>
        <s v="Air Cooler"/>
        <s v="File Folder"/>
        <s v="Printer"/>
        <s v="Mouse"/>
        <s v="Laptop "/>
      </sharedItems>
    </cacheField>
    <cacheField name="Customer_Name" numFmtId="0">
      <sharedItems containsBlank="1"/>
    </cacheField>
    <cacheField name="City" numFmtId="0">
      <sharedItems/>
    </cacheField>
    <cacheField name="Email" numFmtId="0">
      <sharedItems containsBlank="1"/>
    </cacheField>
    <cacheField name="Customer_Type" numFmtId="0">
      <sharedItems count="4">
        <s v="Wholesale"/>
        <s v="Corporate"/>
        <s v="Retail"/>
        <s v="Corporate "/>
      </sharedItems>
    </cacheField>
    <cacheField name="Units" numFmtId="0">
      <sharedItems containsSemiMixedTypes="0" containsString="0" containsNumber="1" containsInteger="1" minValue="1" maxValue="25"/>
    </cacheField>
    <cacheField name="Unit_Price" numFmtId="0">
      <sharedItems containsSemiMixedTypes="0" containsString="0" containsNumber="1" containsInteger="1" minValue="40" maxValue="77900"/>
    </cacheField>
    <cacheField name="Payment_Mode" numFmtId="0">
      <sharedItems containsBlank="1"/>
    </cacheField>
    <cacheField name="Order_Status" numFmtId="0">
      <sharedItems count="4">
        <s v="Completed"/>
        <s v="Cancelled"/>
        <s v="Pending"/>
        <s v="Returned"/>
      </sharedItems>
    </cacheField>
    <cacheField name="Total_Sales" numFmtId="0">
      <sharedItems containsSemiMixedTypes="0" containsString="0" containsNumber="1" containsInteger="1" minValue="160" maxValue="1869600" count="163">
        <n v="1869600"/>
        <n v="357600"/>
        <n v="77400"/>
        <n v="1680"/>
        <n v="1107000"/>
        <n v="207000"/>
        <n v="54600"/>
        <n v="50400"/>
        <n v="41800"/>
        <n v="2000"/>
        <n v="758000"/>
        <n v="443200"/>
        <n v="100800"/>
        <n v="3800"/>
        <n v="609600"/>
        <n v="334400"/>
        <n v="12600"/>
        <n v="97200"/>
        <n v="11200"/>
        <n v="88800"/>
        <n v="209700"/>
        <n v="47500"/>
        <n v="4000"/>
        <n v="810000"/>
        <n v="324000"/>
        <n v="53200"/>
        <n v="13700"/>
        <n v="211200"/>
        <n v="87000"/>
        <n v="53600"/>
        <n v="8700"/>
        <n v="28000"/>
        <n v="680"/>
        <n v="364000"/>
        <n v="108000"/>
        <n v="88000"/>
        <n v="160"/>
        <n v="369600"/>
        <n v="189000"/>
        <n v="1260"/>
        <n v="200"/>
        <n v="47600"/>
        <n v="460800"/>
        <n v="700"/>
        <n v="801900"/>
        <n v="210400"/>
        <n v="1520"/>
        <n v="174000"/>
        <n v="63000"/>
        <n v="2100"/>
        <n v="12100"/>
        <n v="266800"/>
        <n v="35200"/>
        <n v="560"/>
        <n v="104400"/>
        <n v="2700"/>
        <n v="6300"/>
        <n v="202500"/>
        <n v="136500"/>
        <n v="324300"/>
        <n v="147000"/>
        <n v="422400"/>
        <n v="75600"/>
        <n v="878900"/>
        <n v="127600"/>
        <n v="1540"/>
        <n v="70000"/>
        <n v="296000"/>
        <n v="60000"/>
        <n v="2660"/>
        <n v="29600"/>
        <n v="3400"/>
        <n v="222600"/>
        <n v="3080"/>
        <n v="312000"/>
        <n v="207200"/>
        <n v="205200"/>
        <n v="74200"/>
        <n v="168000"/>
        <n v="8000"/>
        <n v="75000"/>
        <n v="360"/>
        <n v="960"/>
        <n v="472800"/>
        <n v="26000"/>
        <n v="832500"/>
        <n v="25500"/>
        <n v="54800"/>
        <n v="66600"/>
        <n v="41500"/>
        <n v="36800"/>
        <n v="193500"/>
        <n v="18400"/>
        <n v="1920"/>
        <n v="218400"/>
        <n v="360000"/>
        <n v="31200"/>
        <n v="28600"/>
        <n v="8800"/>
        <n v="30000"/>
        <n v="1840"/>
        <n v="140000"/>
        <n v="20400"/>
        <n v="210100"/>
        <n v="194600"/>
        <n v="581700"/>
        <n v="274500"/>
        <n v="144900"/>
        <n v="141400"/>
        <n v="168300"/>
        <n v="48400"/>
        <n v="500000"/>
        <n v="89700"/>
        <n v="290700"/>
        <n v="5300"/>
        <n v="352800"/>
        <n v="31800"/>
        <n v="52500"/>
        <n v="54000"/>
        <n v="10800"/>
        <n v="21600"/>
        <n v="129600"/>
        <n v="134300"/>
        <n v="4800"/>
        <n v="11700"/>
        <n v="103500"/>
        <n v="7600"/>
        <n v="21000"/>
        <n v="4500"/>
        <n v="2380"/>
        <n v="75900"/>
        <n v="68400"/>
        <n v="23400"/>
        <n v="472500"/>
        <n v="1130500"/>
        <n v="294000"/>
        <n v="33000"/>
        <n v="101200"/>
        <n v="1315200"/>
        <n v="85000"/>
        <n v="49500"/>
        <n v="400"/>
        <n v="20000"/>
        <n v="96000"/>
        <n v="157700"/>
        <n v="86400"/>
        <n v="73700"/>
        <n v="280"/>
        <n v="622800"/>
        <n v="151800"/>
        <n v="154000"/>
        <n v="295800"/>
        <n v="385700"/>
        <n v="51700"/>
        <n v="16200"/>
        <n v="255200"/>
        <n v="138600"/>
        <n v="279300"/>
        <n v="153900"/>
        <n v="31500"/>
        <n v="74400"/>
        <n v="833300"/>
        <n v="340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">
  <r>
    <s v="T2-0001"/>
    <x v="0"/>
    <n v="46167"/>
    <x v="0"/>
    <x v="0"/>
    <x v="0"/>
    <x v="0"/>
    <s v="Kiran Stores"/>
    <s v="Pune"/>
    <s v="kiran.stores@example.com"/>
    <x v="0"/>
    <n v="24"/>
    <n v="77900"/>
    <s v="UPI"/>
    <x v="0"/>
    <x v="0"/>
  </r>
  <r>
    <s v="T2-0002"/>
    <x v="1"/>
    <n v="46138"/>
    <x v="1"/>
    <x v="1"/>
    <x v="0"/>
    <x v="0"/>
    <s v="Aarav Enterprises"/>
    <s v="Aurangabad"/>
    <s v="aarav.enterprises@example.com"/>
    <x v="1"/>
    <n v="8"/>
    <n v="44700"/>
    <s v="Bank Transfer"/>
    <x v="0"/>
    <x v="1"/>
  </r>
  <r>
    <s v="T2-0003"/>
    <x v="2"/>
    <n v="46245"/>
    <x v="0"/>
    <x v="1"/>
    <x v="0"/>
    <x v="1"/>
    <s v="Bright Solutions"/>
    <s v="Nashik"/>
    <s v="bright.solutions@example.com"/>
    <x v="2"/>
    <n v="3"/>
    <n v="25800"/>
    <s v="Bank Transfer"/>
    <x v="0"/>
    <x v="2"/>
  </r>
  <r>
    <s v="T2-0004"/>
    <x v="3"/>
    <n v="46267"/>
    <x v="2"/>
    <x v="2"/>
    <x v="1"/>
    <x v="2"/>
    <s v="Shree Retail"/>
    <s v="Aurangabad"/>
    <s v="shree.retail@example.com"/>
    <x v="1"/>
    <n v="21"/>
    <n v="80"/>
    <s v="Cash"/>
    <x v="0"/>
    <x v="3"/>
  </r>
  <r>
    <s v="T2-0005"/>
    <x v="4"/>
    <n v="46144"/>
    <x v="0"/>
    <x v="2"/>
    <x v="0"/>
    <x v="0"/>
    <s v="Shree Retail"/>
    <s v="Nagpur"/>
    <s v="shree.retail@example.com"/>
    <x v="1"/>
    <n v="15"/>
    <n v="73800"/>
    <s v="Cash"/>
    <x v="0"/>
    <x v="4"/>
  </r>
  <r>
    <s v="T2-0006"/>
    <x v="5"/>
    <n v="46069"/>
    <x v="1"/>
    <x v="0"/>
    <x v="1"/>
    <x v="3"/>
    <s v="Nexus Pvt Ltd"/>
    <s v="Mumbai"/>
    <s v="nexus.pvt.ltd@example.com"/>
    <x v="2"/>
    <n v="15"/>
    <n v="13800"/>
    <s v="Bank Transfer"/>
    <x v="0"/>
    <x v="5"/>
  </r>
  <r>
    <s v="T2-0007"/>
    <x v="6"/>
    <n v="46055"/>
    <x v="3"/>
    <x v="3"/>
    <x v="2"/>
    <x v="4"/>
    <s v="Aarav Enterprises"/>
    <s v="Nashik"/>
    <s v="aarav.enterprises@example.com"/>
    <x v="2"/>
    <n v="7"/>
    <n v="7800"/>
    <s v="Cash"/>
    <x v="0"/>
    <x v="6"/>
  </r>
  <r>
    <s v="T2-0008"/>
    <x v="7"/>
    <n v="46260"/>
    <x v="0"/>
    <x v="1"/>
    <x v="3"/>
    <x v="5"/>
    <s v="  Shree Retail  "/>
    <s v="Aurangabad"/>
    <s v="bright.solutions@example.com"/>
    <x v="0"/>
    <n v="9"/>
    <n v="5600"/>
    <s v="Bank Transfer"/>
    <x v="1"/>
    <x v="7"/>
  </r>
  <r>
    <s v="T2-0009"/>
    <x v="8"/>
    <n v="46102"/>
    <x v="4"/>
    <x v="2"/>
    <x v="3"/>
    <x v="6"/>
    <s v="Urban Mart"/>
    <s v="Pune"/>
    <s v="urban.mart@example.com"/>
    <x v="2"/>
    <n v="21"/>
    <n v="2400"/>
    <s v="Card"/>
    <x v="2"/>
    <x v="7"/>
  </r>
  <r>
    <s v="T2-0010"/>
    <x v="9"/>
    <n v="46228"/>
    <x v="1"/>
    <x v="4"/>
    <x v="3"/>
    <x v="7"/>
    <s v="Urban Mart"/>
    <s v="Aurangabad"/>
    <s v="urban.mart@example.com"/>
    <x v="2"/>
    <n v="22"/>
    <n v="1900"/>
    <s v="UPI"/>
    <x v="2"/>
    <x v="8"/>
  </r>
  <r>
    <s v="T2-0011"/>
    <x v="10"/>
    <n v="46180"/>
    <x v="2"/>
    <x v="2"/>
    <x v="1"/>
    <x v="2"/>
    <s v="Nexus Pvt Ltd"/>
    <s v="Nashik"/>
    <s v="nexus.pvt.ltd@example.com"/>
    <x v="0"/>
    <n v="25"/>
    <n v="80"/>
    <s v="Card"/>
    <x v="0"/>
    <x v="9"/>
  </r>
  <r>
    <s v="T2-0012"/>
    <x v="11"/>
    <n v="46127"/>
    <x v="0"/>
    <x v="5"/>
    <x v="0"/>
    <x v="8"/>
    <s v="Metro Traders"/>
    <s v="Aurangabad"/>
    <s v="metro.traders@example.com"/>
    <x v="2"/>
    <n v="20"/>
    <n v="37900"/>
    <s v="Cash"/>
    <x v="0"/>
    <x v="10"/>
  </r>
  <r>
    <s v="T2-0013"/>
    <x v="12"/>
    <n v="46146"/>
    <x v="1"/>
    <x v="2"/>
    <x v="0"/>
    <x v="8"/>
    <s v="Kiran Stores"/>
    <s v="Pune"/>
    <s v="kiran.stores@example.com"/>
    <x v="0"/>
    <n v="16"/>
    <n v="27700"/>
    <s v="UPI"/>
    <x v="3"/>
    <x v="11"/>
  </r>
  <r>
    <s v="T2-0014"/>
    <x v="13"/>
    <n v="46275"/>
    <x v="3"/>
    <x v="5"/>
    <x v="2"/>
    <x v="9"/>
    <s v="Nexus Pvt Ltd"/>
    <s v="Aurangabad"/>
    <s v="nexus.pvt.ltd@example.com"/>
    <x v="1"/>
    <n v="7"/>
    <n v="14400"/>
    <s v="Card"/>
    <x v="2"/>
    <x v="12"/>
  </r>
  <r>
    <s v="T2-0015"/>
    <x v="14"/>
    <n v="46295"/>
    <x v="0"/>
    <x v="1"/>
    <x v="3"/>
    <x v="6"/>
    <s v="Shree Retail"/>
    <s v="Pune"/>
    <s v="shree.retail@example.com"/>
    <x v="1"/>
    <n v="1"/>
    <n v="3800"/>
    <s v="Card"/>
    <x v="0"/>
    <x v="13"/>
  </r>
  <r>
    <s v="T2-0016"/>
    <x v="15"/>
    <n v="46057"/>
    <x v="4"/>
    <x v="4"/>
    <x v="0"/>
    <x v="0"/>
    <s v="Shree Retail"/>
    <s v="Pune"/>
    <s v="shree.retail@example.com"/>
    <x v="0"/>
    <n v="8"/>
    <n v="76200"/>
    <s v="Cash"/>
    <x v="2"/>
    <x v="14"/>
  </r>
  <r>
    <s v="T2-0017"/>
    <x v="16"/>
    <n v="46269"/>
    <x v="2"/>
    <x v="1"/>
    <x v="2"/>
    <x v="9"/>
    <s v="Urban Mart"/>
    <s v="Pune"/>
    <s v="urban.mart@example.com"/>
    <x v="2"/>
    <n v="22"/>
    <n v="15200"/>
    <s v="Bank Transfer"/>
    <x v="0"/>
    <x v="15"/>
  </r>
  <r>
    <s v="T2-0018"/>
    <x v="17"/>
    <n v="46074"/>
    <x v="3"/>
    <x v="2"/>
    <x v="3"/>
    <x v="5"/>
    <s v="Sai Services"/>
    <s v="Mumbai"/>
    <s v="sai.services@example.com"/>
    <x v="2"/>
    <n v="7"/>
    <n v="1800"/>
    <s v="Bank Transfer"/>
    <x v="0"/>
    <x v="16"/>
  </r>
  <r>
    <s v="T2-0019"/>
    <x v="18"/>
    <n v="46152"/>
    <x v="1"/>
    <x v="2"/>
    <x v="2"/>
    <x v="4"/>
    <s v="Urban Mart"/>
    <s v="Pune"/>
    <s v="urban.mart@example.com"/>
    <x v="0"/>
    <n v="18"/>
    <n v="5400"/>
    <s v="UPI"/>
    <x v="3"/>
    <x v="17"/>
  </r>
  <r>
    <s v="T2-0020"/>
    <x v="19"/>
    <n v="46279"/>
    <x v="2"/>
    <x v="2"/>
    <x v="2"/>
    <x v="9"/>
    <s v="Kiran Stores"/>
    <s v="Mumbai"/>
    <s v="kiran.stores@example.com"/>
    <x v="1"/>
    <n v="1"/>
    <n v="11200"/>
    <s v="Bank Transfer"/>
    <x v="0"/>
    <x v="18"/>
  </r>
  <r>
    <s v="T2-0021"/>
    <x v="20"/>
    <n v="46275"/>
    <x v="3"/>
    <x v="1"/>
    <x v="3"/>
    <x v="6"/>
    <s v="Kiran Stores"/>
    <s v="Pune"/>
    <s v="kiran.stores@example.com"/>
    <x v="0"/>
    <n v="24"/>
    <n v="3700"/>
    <s v="UPI"/>
    <x v="2"/>
    <x v="19"/>
  </r>
  <r>
    <s v="T2-0022"/>
    <x v="21"/>
    <n v="46276"/>
    <x v="4"/>
    <x v="5"/>
    <x v="0"/>
    <x v="0"/>
    <s v="Nexus Pvt Ltd"/>
    <s v=" pune"/>
    <s v="nexus.pvt.ltd@example.com"/>
    <x v="2"/>
    <n v="3"/>
    <n v="69900"/>
    <s v="UPI"/>
    <x v="2"/>
    <x v="20"/>
  </r>
  <r>
    <s v="T2-0023"/>
    <x v="22"/>
    <n v="46159"/>
    <x v="1"/>
    <x v="2"/>
    <x v="2"/>
    <x v="10"/>
    <s v="Aarav Enterprises"/>
    <s v="Nagpur"/>
    <s v="aarav.enterprises@example.com"/>
    <x v="0"/>
    <n v="19"/>
    <n v="2500"/>
    <s v="Cash"/>
    <x v="3"/>
    <x v="21"/>
  </r>
  <r>
    <s v="T2-0024"/>
    <x v="23"/>
    <n v="46165"/>
    <x v="3"/>
    <x v="3"/>
    <x v="2"/>
    <x v="4"/>
    <s v="Nexus Pvt Ltd"/>
    <s v="Nashik"/>
    <s v="nexus.pvt.ltd@example.com"/>
    <x v="2"/>
    <n v="1"/>
    <n v="4000"/>
    <s v="Bank Transfer"/>
    <x v="0"/>
    <x v="22"/>
  </r>
  <r>
    <s v="T2-0025"/>
    <x v="24"/>
    <n v="46141"/>
    <x v="0"/>
    <x v="4"/>
    <x v="0"/>
    <x v="0"/>
    <s v="Bright Solutions"/>
    <s v="Pune"/>
    <s v="bright.solutions@example.com"/>
    <x v="2"/>
    <n v="12"/>
    <n v="67500"/>
    <s v="Cash"/>
    <x v="0"/>
    <x v="23"/>
  </r>
  <r>
    <s v="T2-0026"/>
    <x v="25"/>
    <n v="46187"/>
    <x v="0"/>
    <x v="4"/>
    <x v="1"/>
    <x v="11"/>
    <s v="Shree Retail"/>
    <s v="Pune"/>
    <s v="shree.retail@example.com"/>
    <x v="2"/>
    <n v="24"/>
    <n v="13500"/>
    <s v="Card"/>
    <x v="0"/>
    <x v="24"/>
  </r>
  <r>
    <s v="T2-0027"/>
    <x v="23"/>
    <n v="46167"/>
    <x v="3"/>
    <x v="2"/>
    <x v="2"/>
    <x v="4"/>
    <s v="Urban Mart"/>
    <s v="Pune"/>
    <s v="urban.mart@example.com"/>
    <x v="0"/>
    <n v="14"/>
    <n v="3800"/>
    <s v="Cash"/>
    <x v="0"/>
    <x v="25"/>
  </r>
  <r>
    <s v="T2-0028"/>
    <x v="26"/>
    <n v="46117"/>
    <x v="1"/>
    <x v="0"/>
    <x v="1"/>
    <x v="3"/>
    <s v="Urban Mart"/>
    <s v="Nagpur"/>
    <s v="urban.mart@example.com"/>
    <x v="0"/>
    <n v="1"/>
    <n v="13700"/>
    <s v="UPI"/>
    <x v="0"/>
    <x v="26"/>
  </r>
  <r>
    <s v="T2-0029"/>
    <x v="27"/>
    <n v="46222"/>
    <x v="2"/>
    <x v="1"/>
    <x v="2"/>
    <x v="12"/>
    <s v="Nexus Pvt Ltd"/>
    <s v="Pune"/>
    <s v="nexus.pvt.ltd@example.com"/>
    <x v="1"/>
    <n v="12"/>
    <n v="17600"/>
    <s v="UPI"/>
    <x v="1"/>
    <x v="27"/>
  </r>
  <r>
    <s v="T2-0030"/>
    <x v="28"/>
    <n v="46081"/>
    <x v="1"/>
    <x v="0"/>
    <x v="2"/>
    <x v="9"/>
    <s v="Sai Services"/>
    <s v="Mumbai"/>
    <s v="sai.services@example.com"/>
    <x v="2"/>
    <n v="6"/>
    <n v="14500"/>
    <s v="Card"/>
    <x v="1"/>
    <x v="28"/>
  </r>
  <r>
    <s v="T2-0031"/>
    <x v="29"/>
    <n v="46200"/>
    <x v="3"/>
    <x v="1"/>
    <x v="0"/>
    <x v="1"/>
    <s v="Kiran Stores"/>
    <s v="Pune"/>
    <s v="kiran.stores@example.com"/>
    <x v="1"/>
    <n v="2"/>
    <n v="26800"/>
    <s v="Bank Transfer"/>
    <x v="0"/>
    <x v="29"/>
  </r>
  <r>
    <s v="T2-0032"/>
    <x v="4"/>
    <n v="46143"/>
    <x v="0"/>
    <x v="3"/>
    <x v="3"/>
    <x v="6"/>
    <s v="Aarav Enterprises"/>
    <s v="Nashik"/>
    <s v="aarav.enterprises@example.com"/>
    <x v="1"/>
    <n v="3"/>
    <n v="2900"/>
    <s v="Cash"/>
    <x v="0"/>
    <x v="30"/>
  </r>
  <r>
    <s v="T2-0033"/>
    <x v="30"/>
    <n v="46039"/>
    <x v="0"/>
    <x v="5"/>
    <x v="3"/>
    <x v="6"/>
    <s v="Bright Solutions"/>
    <s v="Nashik"/>
    <s v="bright.solutions@example.com"/>
    <x v="2"/>
    <n v="4"/>
    <n v="7000"/>
    <s v="Bank Transfer"/>
    <x v="0"/>
    <x v="31"/>
  </r>
  <r>
    <s v="T2-0034"/>
    <x v="31"/>
    <n v="46230"/>
    <x v="3"/>
    <x v="2"/>
    <x v="1"/>
    <x v="13"/>
    <s v="Kiran Stores"/>
    <s v="Nagpur"/>
    <s v="kiran.stores@example.com"/>
    <x v="2"/>
    <n v="17"/>
    <n v="40"/>
    <s v="Card"/>
    <x v="0"/>
    <x v="32"/>
  </r>
  <r>
    <s v="T2-0035"/>
    <x v="32"/>
    <n v="46098"/>
    <x v="1"/>
    <x v="4"/>
    <x v="0"/>
    <x v="8"/>
    <s v="Bright Solutions"/>
    <s v="Nagpur"/>
    <s v="bright.solutions@example.com"/>
    <x v="1"/>
    <n v="13"/>
    <n v="28000"/>
    <s v="Cash"/>
    <x v="0"/>
    <x v="33"/>
  </r>
  <r>
    <s v="T2-0036"/>
    <x v="33"/>
    <n v="46228"/>
    <x v="1"/>
    <x v="5"/>
    <x v="2"/>
    <x v="10"/>
    <s v="Nexus Pvt Ltd"/>
    <s v="Nashik"/>
    <s v="nexus.pvt.ltd@example.com "/>
    <x v="1"/>
    <n v="18"/>
    <n v="6000"/>
    <s v="UPI"/>
    <x v="0"/>
    <x v="34"/>
  </r>
  <r>
    <s v="T2-0037"/>
    <x v="34"/>
    <n v="46195"/>
    <x v="2"/>
    <x v="0"/>
    <x v="2"/>
    <x v="10"/>
    <s v="Urban Mart"/>
    <s v="Mumbai"/>
    <s v="urban.mart@example.com"/>
    <x v="0"/>
    <n v="16"/>
    <n v="5500"/>
    <s v="Card"/>
    <x v="2"/>
    <x v="35"/>
  </r>
  <r>
    <s v="T2-0038"/>
    <x v="35"/>
    <n v="46154"/>
    <x v="0"/>
    <x v="1"/>
    <x v="1"/>
    <x v="2"/>
    <s v="Bright Solutions"/>
    <s v="Mumbai"/>
    <s v="bright.solutions@example.com"/>
    <x v="2"/>
    <n v="2"/>
    <n v="80"/>
    <s v="Card"/>
    <x v="3"/>
    <x v="36"/>
  </r>
  <r>
    <s v="T2-0039"/>
    <x v="36"/>
    <n v="46134"/>
    <x v="2"/>
    <x v="3"/>
    <x v="0"/>
    <x v="14"/>
    <s v="Sai Services"/>
    <s v="Mumbai"/>
    <s v="sai.services@example.com"/>
    <x v="2"/>
    <n v="21"/>
    <n v="17600"/>
    <s v="UPI"/>
    <x v="1"/>
    <x v="37"/>
  </r>
  <r>
    <s v="T2-0040"/>
    <x v="37"/>
    <n v="46125"/>
    <x v="4"/>
    <x v="5"/>
    <x v="0"/>
    <x v="14"/>
    <s v="Urban Mart"/>
    <s v="Mumbai"/>
    <s v="urban.mart@example.com"/>
    <x v="2"/>
    <n v="15"/>
    <n v="12600"/>
    <s v="Card"/>
    <x v="1"/>
    <x v="38"/>
  </r>
  <r>
    <s v="T2-0041"/>
    <x v="38"/>
    <n v="46254"/>
    <x v="2"/>
    <x v="4"/>
    <x v="1"/>
    <x v="13"/>
    <s v="Urban Mart"/>
    <s v="Mumbai"/>
    <s v="urban.mart@example.com"/>
    <x v="0"/>
    <n v="9"/>
    <n v="140"/>
    <s v="Bank Transfer"/>
    <x v="0"/>
    <x v="39"/>
  </r>
  <r>
    <s v="T2-0042"/>
    <x v="39"/>
    <n v="46173"/>
    <x v="3"/>
    <x v="4"/>
    <x v="1"/>
    <x v="13"/>
    <s v="Bright Solutions"/>
    <s v="Aurangabad"/>
    <s v="bright.solutions@example.com"/>
    <x v="2"/>
    <n v="5"/>
    <n v="40"/>
    <s v="Card"/>
    <x v="0"/>
    <x v="40"/>
  </r>
  <r>
    <s v="T2-0043"/>
    <x v="40"/>
    <n v="46242"/>
    <x v="1"/>
    <x v="3"/>
    <x v="2"/>
    <x v="9"/>
    <s v="Metro Traders"/>
    <s v="Nagpur"/>
    <s v="metro.traders@example.com"/>
    <x v="2"/>
    <n v="7"/>
    <n v="6800"/>
    <s v="Bank Transfer"/>
    <x v="0"/>
    <x v="41"/>
  </r>
  <r>
    <s v="T2-0044"/>
    <x v="41"/>
    <n v="46032"/>
    <x v="2"/>
    <x v="3"/>
    <x v="0"/>
    <x v="14"/>
    <s v="Bright Solutions"/>
    <s v="Aurangabad"/>
    <s v="bright.solutions@example.com"/>
    <x v="0"/>
    <n v="24"/>
    <n v="19200"/>
    <s v="Card"/>
    <x v="0"/>
    <x v="42"/>
  </r>
  <r>
    <s v="T2-0045"/>
    <x v="30"/>
    <n v="46044"/>
    <x v="2"/>
    <x v="0"/>
    <x v="1"/>
    <x v="13"/>
    <s v="Metro Traders"/>
    <s v="Mumbai"/>
    <s v="metro.traders@example.com"/>
    <x v="1"/>
    <n v="5"/>
    <n v="140"/>
    <s v="UPI"/>
    <x v="3"/>
    <x v="43"/>
  </r>
  <r>
    <s v="T2-0046"/>
    <x v="42"/>
    <n v="46245"/>
    <x v="0"/>
    <x v="2"/>
    <x v="0"/>
    <x v="0"/>
    <s v="Urban Mart"/>
    <s v="Nashik"/>
    <s v="urban.mart@example.com"/>
    <x v="1"/>
    <n v="11"/>
    <n v="72900"/>
    <s v="Card"/>
    <x v="0"/>
    <x v="44"/>
  </r>
  <r>
    <s v="T2-0047"/>
    <x v="43"/>
    <n v="46243"/>
    <x v="2"/>
    <x v="2"/>
    <x v="1"/>
    <x v="13"/>
    <s v="Shree Retail"/>
    <s v="Aurangabad"/>
    <s v="shree.retail@example.com"/>
    <x v="2"/>
    <n v="12"/>
    <n v="140"/>
    <s v="Card"/>
    <x v="2"/>
    <x v="3"/>
  </r>
  <r>
    <s v="T2-0048"/>
    <x v="44"/>
    <n v="46126"/>
    <x v="0"/>
    <x v="1"/>
    <x v="0"/>
    <x v="0"/>
    <s v="Nexus Pvt Ltd"/>
    <s v="Nagpur"/>
    <s v="nexus.pvt.ltd@example.com"/>
    <x v="0"/>
    <n v="4"/>
    <n v="52600"/>
    <s v="Card"/>
    <x v="0"/>
    <x v="45"/>
  </r>
  <r>
    <s v="T2-0049"/>
    <x v="45"/>
    <n v="46084"/>
    <x v="4"/>
    <x v="5"/>
    <x v="1"/>
    <x v="2"/>
    <s v="Bright Solutions"/>
    <s v="Pune"/>
    <s v="bright.solutions@example.com"/>
    <x v="1"/>
    <n v="19"/>
    <n v="80"/>
    <s v="Bank Transfer"/>
    <x v="0"/>
    <x v="46"/>
  </r>
  <r>
    <s v="T2-0050"/>
    <x v="46"/>
    <n v="46149"/>
    <x v="1"/>
    <x v="6"/>
    <x v="2"/>
    <x v="12"/>
    <s v="Bright Solutions"/>
    <s v="Aurangabad"/>
    <s v="bright.solutions@example.com"/>
    <x v="2"/>
    <n v="12"/>
    <n v="14500"/>
    <s v="Bank Transfer"/>
    <x v="2"/>
    <x v="47"/>
  </r>
  <r>
    <s v="T2-0051"/>
    <x v="43"/>
    <n v="46246"/>
    <x v="2"/>
    <x v="4"/>
    <x v="0"/>
    <x v="8"/>
    <s v="Shree Retail"/>
    <s v="Nagpur"/>
    <s v="shree.retail@example.com"/>
    <x v="0"/>
    <n v="5"/>
    <n v="12600"/>
    <s v="Bank Transfer"/>
    <x v="0"/>
    <x v="48"/>
  </r>
  <r>
    <s v="T2-0052"/>
    <x v="47"/>
    <n v="46258"/>
    <x v="3"/>
    <x v="1"/>
    <x v="1"/>
    <x v="13"/>
    <s v="Bright Solutions"/>
    <s v="Pune"/>
    <s v="bright.solutions@example.com"/>
    <x v="1"/>
    <n v="15"/>
    <n v="140"/>
    <s v="Card"/>
    <x v="2"/>
    <x v="49"/>
  </r>
  <r>
    <s v="T2-0053"/>
    <x v="48"/>
    <n v="46282"/>
    <x v="2"/>
    <x v="1"/>
    <x v="3"/>
    <x v="6"/>
    <s v="Nexus Pvt Ltd"/>
    <s v="Nashik"/>
    <s v="nexus.pvt.ltd@example.com"/>
    <x v="1"/>
    <n v="11"/>
    <n v="1100"/>
    <s v="Cash"/>
    <x v="1"/>
    <x v="50"/>
  </r>
  <r>
    <s v="T2-0054"/>
    <x v="49"/>
    <n v="46122"/>
    <x v="2"/>
    <x v="3"/>
    <x v="1"/>
    <x v="11"/>
    <s v="Kiran Stores"/>
    <s v="Aurangabad"/>
    <s v="kiran.stores@example.com"/>
    <x v="2"/>
    <n v="23"/>
    <n v="11600"/>
    <s v="Bank Transfer"/>
    <x v="0"/>
    <x v="51"/>
  </r>
  <r>
    <s v="T2-0055"/>
    <x v="50"/>
    <n v="46075"/>
    <x v="2"/>
    <x v="0"/>
    <x v="3"/>
    <x v="5"/>
    <s v="Kiran Stores"/>
    <s v="Mumbai"/>
    <s v="kiran.stores@example.com"/>
    <x v="1"/>
    <n v="22"/>
    <n v="1600"/>
    <s v="Cash"/>
    <x v="0"/>
    <x v="52"/>
  </r>
  <r>
    <s v="T2-0056"/>
    <x v="51"/>
    <n v="46215"/>
    <x v="3"/>
    <x v="4"/>
    <x v="1"/>
    <x v="13"/>
    <s v="Urban Mart"/>
    <s v="Nashik"/>
    <s v="urban.mart@example.com"/>
    <x v="2"/>
    <n v="4"/>
    <n v="140"/>
    <s v="Card"/>
    <x v="0"/>
    <x v="53"/>
  </r>
  <r>
    <s v="T2-0057"/>
    <x v="52"/>
    <n v="46275"/>
    <x v="4"/>
    <x v="1"/>
    <x v="2"/>
    <x v="9"/>
    <s v="Bright Solutions"/>
    <s v="Nashik"/>
    <s v="bright.solutions@example.com"/>
    <x v="2"/>
    <n v="12"/>
    <n v="8700"/>
    <s v="Card"/>
    <x v="0"/>
    <x v="54"/>
  </r>
  <r>
    <s v="T2-0058"/>
    <x v="53"/>
    <n v="46059"/>
    <x v="0"/>
    <x v="0"/>
    <x v="2"/>
    <x v="4"/>
    <s v="Bright Solutions"/>
    <s v="Nagpur"/>
    <s v="bright.solutions@example.com"/>
    <x v="2"/>
    <n v="1"/>
    <n v="2700"/>
    <s v="Cash"/>
    <x v="0"/>
    <x v="55"/>
  </r>
  <r>
    <s v="T2-0059"/>
    <x v="54"/>
    <n v="46054"/>
    <x v="4"/>
    <x v="2"/>
    <x v="3"/>
    <x v="6"/>
    <s v="Urban Mart"/>
    <s v="Nagpur"/>
    <s v="urban.mart@example.com"/>
    <x v="1"/>
    <n v="3"/>
    <n v="2100"/>
    <s v="UPI"/>
    <x v="0"/>
    <x v="56"/>
  </r>
  <r>
    <s v="T2-0060"/>
    <x v="55"/>
    <n v="46092"/>
    <x v="1"/>
    <x v="5"/>
    <x v="1"/>
    <x v="11"/>
    <s v="Sai Services"/>
    <s v="Aurangabad"/>
    <s v="sai.services@example.com"/>
    <x v="2"/>
    <n v="25"/>
    <n v="8100"/>
    <s v="Bank Transfer"/>
    <x v="0"/>
    <x v="57"/>
  </r>
  <r>
    <s v="T2-0061"/>
    <x v="42"/>
    <n v="46247"/>
    <x v="1"/>
    <x v="0"/>
    <x v="3"/>
    <x v="6"/>
    <s v="Aarav Enterprises"/>
    <s v="Pune"/>
    <s v="aarav.enterprises@example.com"/>
    <x v="2"/>
    <n v="21"/>
    <n v="6500"/>
    <s v="Card"/>
    <x v="0"/>
    <x v="58"/>
  </r>
  <r>
    <s v="T2-0062"/>
    <x v="56"/>
    <n v="46120"/>
    <x v="0"/>
    <x v="2"/>
    <x v="0"/>
    <x v="1"/>
    <s v="Shree Retail"/>
    <s v="Nagpur"/>
    <s v="shree.retail@example.com"/>
    <x v="1"/>
    <n v="23"/>
    <n v="14100"/>
    <s v="Bank Transfer"/>
    <x v="0"/>
    <x v="59"/>
  </r>
  <r>
    <s v="T2-0063"/>
    <x v="57"/>
    <n v="46179"/>
    <x v="4"/>
    <x v="0"/>
    <x v="2"/>
    <x v="4"/>
    <s v="Urban Mart"/>
    <s v="Mumbai"/>
    <s v="urban.mart@example.com"/>
    <x v="1"/>
    <n v="21"/>
    <n v="7000"/>
    <s v="Card"/>
    <x v="0"/>
    <x v="60"/>
  </r>
  <r>
    <s v="T2-0064"/>
    <x v="58"/>
    <n v="46162"/>
    <x v="4"/>
    <x v="1"/>
    <x v="2"/>
    <x v="9"/>
    <s v="Shree Retail"/>
    <s v="Nashik"/>
    <s v="shree.retail@example.com"/>
    <x v="0"/>
    <n v="24"/>
    <n v="17600"/>
    <s v="Cash"/>
    <x v="0"/>
    <x v="61"/>
  </r>
  <r>
    <s v="T2-0065"/>
    <x v="59"/>
    <n v="46234"/>
    <x v="2"/>
    <x v="2"/>
    <x v="3"/>
    <x v="6"/>
    <s v="Urban Mart"/>
    <s v="Aurangabad"/>
    <s v="urban.mart@example.com"/>
    <x v="2"/>
    <n v="14"/>
    <n v="5400"/>
    <s v="Cash"/>
    <x v="0"/>
    <x v="62"/>
  </r>
  <r>
    <s v="T2-0066"/>
    <x v="60"/>
    <n v="46044"/>
    <x v="1"/>
    <x v="2"/>
    <x v="0"/>
    <x v="0"/>
    <s v="Bright Solutions"/>
    <s v="Mumbai"/>
    <s v="bright.solutions@example.com"/>
    <x v="1"/>
    <n v="17"/>
    <n v="51700"/>
    <s v="Bank Transfer"/>
    <x v="3"/>
    <x v="63"/>
  </r>
  <r>
    <s v="T2-0067"/>
    <x v="61"/>
    <n v="46276"/>
    <x v="3"/>
    <x v="3"/>
    <x v="2"/>
    <x v="10"/>
    <m/>
    <s v="Nashik"/>
    <s v="urban.mart@example.com"/>
    <x v="1"/>
    <n v="22"/>
    <n v="5800"/>
    <s v="UPI"/>
    <x v="1"/>
    <x v="64"/>
  </r>
  <r>
    <s v="T2-0068"/>
    <x v="62"/>
    <n v="46181"/>
    <x v="1"/>
    <x v="2"/>
    <x v="1"/>
    <x v="13"/>
    <s v="Sai Services"/>
    <s v="Nagpur"/>
    <s v="sai.services@example.com"/>
    <x v="2"/>
    <n v="11"/>
    <n v="140"/>
    <s v="Cash"/>
    <x v="0"/>
    <x v="65"/>
  </r>
  <r>
    <s v="T2-0069"/>
    <x v="63"/>
    <n v="46266"/>
    <x v="0"/>
    <x v="5"/>
    <x v="3"/>
    <x v="7"/>
    <s v="Aarav Enterprises"/>
    <s v="Nashik"/>
    <s v="aarav.enterprises@example.com"/>
    <x v="0"/>
    <n v="25"/>
    <n v="2800"/>
    <s v="Bank Transfer"/>
    <x v="0"/>
    <x v="66"/>
  </r>
  <r>
    <s v="T2-0070"/>
    <x v="64"/>
    <n v="46095"/>
    <x v="2"/>
    <x v="2"/>
    <x v="0"/>
    <x v="1"/>
    <s v="Urban Mart"/>
    <s v="Pune"/>
    <s v="urban.mart@example.com"/>
    <x v="0"/>
    <n v="20"/>
    <n v="14800"/>
    <s v="Card"/>
    <x v="2"/>
    <x v="67"/>
  </r>
  <r>
    <s v="T2-0071"/>
    <x v="65"/>
    <n v="46233"/>
    <x v="4"/>
    <x v="3"/>
    <x v="1"/>
    <x v="11"/>
    <s v="Kiran Stores"/>
    <s v="Pune"/>
    <s v="kiran.stores@example.com"/>
    <x v="0"/>
    <n v="5"/>
    <n v="12000"/>
    <s v="Bank Transfer"/>
    <x v="3"/>
    <x v="68"/>
  </r>
  <r>
    <s v="T2-0072"/>
    <x v="52"/>
    <n v="46278"/>
    <x v="2"/>
    <x v="5"/>
    <x v="1"/>
    <x v="2"/>
    <s v="Kiran Stores"/>
    <s v="Mumbai"/>
    <s v="kiran.stores@example.com"/>
    <x v="1"/>
    <n v="7"/>
    <n v="180"/>
    <s v="Card"/>
    <x v="1"/>
    <x v="39"/>
  </r>
  <r>
    <s v="T2-0073"/>
    <x v="66"/>
    <n v="46287"/>
    <x v="3"/>
    <x v="0"/>
    <x v="1"/>
    <x v="13"/>
    <s v="Aarav Enterprises"/>
    <s v="Nashik"/>
    <s v="aarav.enterprises@example.com"/>
    <x v="0"/>
    <n v="19"/>
    <n v="140"/>
    <s v="Bank Transfer"/>
    <x v="1"/>
    <x v="69"/>
  </r>
  <r>
    <s v="T2-0074"/>
    <x v="29"/>
    <n v="46202"/>
    <x v="2"/>
    <x v="4"/>
    <x v="3"/>
    <x v="5"/>
    <s v="Sai Services"/>
    <s v="Mumbai"/>
    <s v="sai.services@example.com"/>
    <x v="0"/>
    <n v="8"/>
    <n v="3700"/>
    <s v="Bank Transfer"/>
    <x v="0"/>
    <x v="70"/>
  </r>
  <r>
    <s v="T2-0075"/>
    <x v="16"/>
    <n v="46277"/>
    <x v="2"/>
    <x v="0"/>
    <x v="3"/>
    <x v="7"/>
    <s v="Sai Services"/>
    <s v="Mumbai"/>
    <s v="sai.services@example.com"/>
    <x v="1"/>
    <n v="2"/>
    <n v="1700"/>
    <s v="Card"/>
    <x v="0"/>
    <x v="71"/>
  </r>
  <r>
    <s v="T2-0076"/>
    <x v="67"/>
    <n v="46083"/>
    <x v="4"/>
    <x v="0"/>
    <x v="1"/>
    <x v="11"/>
    <s v="Urban Mart"/>
    <s v="Mumbai"/>
    <s v="urban.mart@example.com"/>
    <x v="1"/>
    <n v="21"/>
    <n v="10600"/>
    <s v="Card"/>
    <x v="0"/>
    <x v="72"/>
  </r>
  <r>
    <s v="T2-0077"/>
    <x v="68"/>
    <n v="46237"/>
    <x v="3"/>
    <x v="0"/>
    <x v="1"/>
    <x v="2"/>
    <s v="Shree Retail"/>
    <s v="Aurangabad"/>
    <s v="shree.retail@example.com"/>
    <x v="1"/>
    <n v="11"/>
    <n v="280"/>
    <s v="Bank Transfer"/>
    <x v="1"/>
    <x v="73"/>
  </r>
  <r>
    <s v="T2-0078"/>
    <x v="62"/>
    <n v="46174"/>
    <x v="2"/>
    <x v="2"/>
    <x v="0"/>
    <x v="0"/>
    <s v="Shree Retail"/>
    <s v="Pune"/>
    <s v="shree.retail@example.com"/>
    <x v="1"/>
    <n v="6"/>
    <n v="52000"/>
    <s v="Cash"/>
    <x v="3"/>
    <x v="74"/>
  </r>
  <r>
    <s v="T2-0079"/>
    <x v="10"/>
    <n v="46179"/>
    <x v="2"/>
    <x v="1"/>
    <x v="0"/>
    <x v="8"/>
    <s v="Metro Traders"/>
    <s v="Mumbai"/>
    <s v="metro.traders@example.com"/>
    <x v="0"/>
    <n v="14"/>
    <n v="14800"/>
    <s v="Card"/>
    <x v="0"/>
    <x v="75"/>
  </r>
  <r>
    <s v="T2-0080"/>
    <x v="69"/>
    <n v="46154"/>
    <x v="0"/>
    <x v="3"/>
    <x v="0"/>
    <x v="14"/>
    <s v="Nexus Pvt Ltd"/>
    <s v="Nashik"/>
    <s v="nexus.pvt.ltd@example.com"/>
    <x v="1"/>
    <n v="9"/>
    <n v="22800"/>
    <s v="UPI"/>
    <x v="1"/>
    <x v="76"/>
  </r>
  <r>
    <s v="T2-0081"/>
    <x v="70"/>
    <n v="46105"/>
    <x v="3"/>
    <x v="5"/>
    <x v="3"/>
    <x v="6"/>
    <s v="Urban Mart"/>
    <s v="Nashik"/>
    <s v="urban.mart@example.com"/>
    <x v="0"/>
    <n v="14"/>
    <n v="5300"/>
    <s v="Cash"/>
    <x v="0"/>
    <x v="77"/>
  </r>
  <r>
    <s v="T2-0082"/>
    <x v="52"/>
    <n v="46272"/>
    <x v="2"/>
    <x v="5"/>
    <x v="1"/>
    <x v="3"/>
    <s v="Kiran Stores"/>
    <s v="Nashik"/>
    <s v="kiran.stores@example.com"/>
    <x v="0"/>
    <n v="10"/>
    <n v="16800"/>
    <s v="Cash"/>
    <x v="0"/>
    <x v="78"/>
  </r>
  <r>
    <s v="T2-0083"/>
    <x v="71"/>
    <n v="46058"/>
    <x v="3"/>
    <x v="1"/>
    <x v="3"/>
    <x v="6"/>
    <s v="Urban Mart"/>
    <s v="Aurangabad"/>
    <s v="urban.mart@example.com"/>
    <x v="1"/>
    <n v="8"/>
    <n v="1000"/>
    <m/>
    <x v="0"/>
    <x v="79"/>
  </r>
  <r>
    <s v="T2-0084"/>
    <x v="72"/>
    <n v="46048"/>
    <x v="4"/>
    <x v="5"/>
    <x v="2"/>
    <x v="12"/>
    <s v="Urban Mart"/>
    <s v="Nashik"/>
    <s v="urban.mart@example.com"/>
    <x v="0"/>
    <n v="5"/>
    <n v="15000"/>
    <s v="UPI"/>
    <x v="3"/>
    <x v="80"/>
  </r>
  <r>
    <s v="T2-0085"/>
    <x v="44"/>
    <n v="46128"/>
    <x v="1"/>
    <x v="5"/>
    <x v="1"/>
    <x v="13"/>
    <s v="Metro Traders"/>
    <s v="Nashik"/>
    <s v="metro.traders@example.com"/>
    <x v="2"/>
    <n v="9"/>
    <n v="40"/>
    <s v="Bank Transfer"/>
    <x v="3"/>
    <x v="81"/>
  </r>
  <r>
    <s v="T2-0086"/>
    <x v="73"/>
    <n v="46264"/>
    <x v="0"/>
    <x v="0"/>
    <x v="1"/>
    <x v="2"/>
    <s v="Nexus Pvt Ltd"/>
    <s v="Nagpur"/>
    <s v="nexus.pvt.ltd@example.com"/>
    <x v="0"/>
    <n v="12"/>
    <n v="80"/>
    <s v="UPI"/>
    <x v="2"/>
    <x v="82"/>
  </r>
  <r>
    <s v="T2-0087"/>
    <x v="32"/>
    <n v="46094"/>
    <x v="3"/>
    <x v="5"/>
    <x v="0"/>
    <x v="8"/>
    <s v="Metro Traders"/>
    <s v="Nagpur"/>
    <s v="metro.traders@example.com"/>
    <x v="0"/>
    <n v="12"/>
    <n v="39400"/>
    <s v="UPI"/>
    <x v="2"/>
    <x v="83"/>
  </r>
  <r>
    <s v="T2-0088"/>
    <x v="74"/>
    <n v="46200"/>
    <x v="4"/>
    <x v="0"/>
    <x v="3"/>
    <x v="7"/>
    <s v="Kiran Stores"/>
    <s v="Nagpur"/>
    <s v="kiran.stores@example.com"/>
    <x v="0"/>
    <n v="10"/>
    <n v="2600"/>
    <s v="Bank Transfer"/>
    <x v="0"/>
    <x v="84"/>
  </r>
  <r>
    <s v="T2-0089"/>
    <x v="75"/>
    <n v="46277"/>
    <x v="0"/>
    <x v="5"/>
    <x v="0"/>
    <x v="0"/>
    <s v="Shree Retail"/>
    <s v="Mumbai"/>
    <s v="shree.retail@example.com"/>
    <x v="1"/>
    <n v="15"/>
    <n v="55500"/>
    <s v="Cash"/>
    <x v="2"/>
    <x v="85"/>
  </r>
  <r>
    <s v="T2-0090"/>
    <x v="17"/>
    <n v="46081"/>
    <x v="3"/>
    <x v="2"/>
    <x v="3"/>
    <x v="15"/>
    <s v="Sai Services"/>
    <s v="Nashik"/>
    <s v="sai.services@example.com"/>
    <x v="2"/>
    <n v="15"/>
    <n v="1700"/>
    <s v="Bank Transfer"/>
    <x v="3"/>
    <x v="86"/>
  </r>
  <r>
    <s v="T2-0091"/>
    <x v="76"/>
    <n v="46220"/>
    <x v="4"/>
    <x v="3"/>
    <x v="1"/>
    <x v="11"/>
    <s v="Metro Traders"/>
    <s v="Nashik"/>
    <s v="metro.traders@example.com"/>
    <x v="2"/>
    <n v="4"/>
    <n v="13700"/>
    <s v="Bank Transfer"/>
    <x v="0"/>
    <x v="87"/>
  </r>
  <r>
    <s v="T2-0092"/>
    <x v="29"/>
    <n v="46197"/>
    <x v="1"/>
    <x v="1"/>
    <x v="2"/>
    <x v="12"/>
    <s v="Nexus Pvt Ltd"/>
    <s v="Pune"/>
    <s v="nexus.pvt.ltd@example.com"/>
    <x v="0"/>
    <n v="7"/>
    <n v="7600"/>
    <s v="Card"/>
    <x v="1"/>
    <x v="25"/>
  </r>
  <r>
    <s v="T2-0093"/>
    <x v="77"/>
    <n v="46108"/>
    <x v="3"/>
    <x v="1"/>
    <x v="2"/>
    <x v="4"/>
    <s v="Aarav Enterprises"/>
    <s v="Mumbai"/>
    <s v="aarav.enterprises@example.com"/>
    <x v="0"/>
    <n v="9"/>
    <n v="7400"/>
    <s v="Card"/>
    <x v="0"/>
    <x v="88"/>
  </r>
  <r>
    <s v="T2-0094"/>
    <x v="78"/>
    <n v="46210"/>
    <x v="4"/>
    <x v="1"/>
    <x v="0"/>
    <x v="1"/>
    <s v="Metro Traders"/>
    <s v="Nashik"/>
    <s v="metro.traders@example.com"/>
    <x v="2"/>
    <n v="5"/>
    <n v="8300"/>
    <s v="Bank Transfer"/>
    <x v="0"/>
    <x v="89"/>
  </r>
  <r>
    <s v="T2-0095"/>
    <x v="79"/>
    <n v="46217"/>
    <x v="2"/>
    <x v="5"/>
    <x v="0"/>
    <x v="14"/>
    <s v="Shree Retail"/>
    <s v="Mumbai"/>
    <s v="shree.retail@example.com"/>
    <x v="0"/>
    <n v="2"/>
    <n v="18400"/>
    <s v="Cash"/>
    <x v="0"/>
    <x v="90"/>
  </r>
  <r>
    <s v="T2-0096"/>
    <x v="80"/>
    <n v="46235"/>
    <x v="2"/>
    <x v="0"/>
    <x v="0"/>
    <x v="0"/>
    <s v="Shree Retail"/>
    <s v="Nagpur"/>
    <s v="shree.retail@example.com"/>
    <x v="2"/>
    <n v="3"/>
    <n v="64500"/>
    <s v="Cash"/>
    <x v="0"/>
    <x v="91"/>
  </r>
  <r>
    <s v="T2-0097"/>
    <x v="81"/>
    <n v="46196"/>
    <x v="2"/>
    <x v="5"/>
    <x v="0"/>
    <x v="1"/>
    <s v="Bright Solutions"/>
    <s v="Aurangabad"/>
    <s v="bright.solutions@example.com"/>
    <x v="1"/>
    <n v="4"/>
    <n v="15000"/>
    <s v="UPI"/>
    <x v="1"/>
    <x v="68"/>
  </r>
  <r>
    <s v="T2-0098"/>
    <x v="4"/>
    <n v="46146"/>
    <x v="2"/>
    <x v="3"/>
    <x v="2"/>
    <x v="10"/>
    <s v="Metro Traders"/>
    <s v="Nagpur"/>
    <s v="metro.traders@example.com"/>
    <x v="0"/>
    <n v="4"/>
    <n v="4600"/>
    <s v="Cash"/>
    <x v="0"/>
    <x v="92"/>
  </r>
  <r>
    <s v="T2-0099"/>
    <x v="16"/>
    <n v="46267"/>
    <x v="4"/>
    <x v="2"/>
    <x v="1"/>
    <x v="2"/>
    <s v="Shree Retail"/>
    <s v="Nagpur"/>
    <s v="shree.retail@example.com"/>
    <x v="2"/>
    <n v="24"/>
    <n v="80"/>
    <s v="Cash"/>
    <x v="1"/>
    <x v="93"/>
  </r>
  <r>
    <s v="T2-0100"/>
    <x v="82"/>
    <n v="46239"/>
    <x v="4"/>
    <x v="4"/>
    <x v="0"/>
    <x v="8"/>
    <s v="Sai Services"/>
    <s v="Aurangabad"/>
    <s v="sai.services@example.com"/>
    <x v="1"/>
    <n v="12"/>
    <n v="18200"/>
    <s v="UPI"/>
    <x v="0"/>
    <x v="94"/>
  </r>
  <r>
    <s v="T2-0101"/>
    <x v="83"/>
    <n v="46273"/>
    <x v="3"/>
    <x v="5"/>
    <x v="2"/>
    <x v="9"/>
    <s v="Shree Retail"/>
    <s v="Nashik"/>
    <s v="shree.retail@example.com"/>
    <x v="2"/>
    <n v="25"/>
    <n v="14400"/>
    <s v="Cash"/>
    <x v="0"/>
    <x v="95"/>
  </r>
  <r>
    <s v="T2-0102"/>
    <x v="58"/>
    <n v="46160"/>
    <x v="5"/>
    <x v="0"/>
    <x v="3"/>
    <x v="7"/>
    <s v="Nexus Pvt Ltd"/>
    <s v="Nashik"/>
    <s v="nexus.pvt.ltd@example.com"/>
    <x v="1"/>
    <n v="12"/>
    <n v="2600"/>
    <s v="UPI"/>
    <x v="0"/>
    <x v="96"/>
  </r>
  <r>
    <s v="T2-0103"/>
    <x v="84"/>
    <n v="46107"/>
    <x v="4"/>
    <x v="0"/>
    <x v="2"/>
    <x v="10"/>
    <s v="Aarav Enterprises"/>
    <s v="Aurangabad"/>
    <s v="aarav.enterprises@example.com"/>
    <x v="2"/>
    <n v="13"/>
    <n v="2200"/>
    <s v="Bank Transfer"/>
    <x v="0"/>
    <x v="97"/>
  </r>
  <r>
    <s v="T2-0104"/>
    <x v="81"/>
    <n v="46199"/>
    <x v="4"/>
    <x v="1"/>
    <x v="2"/>
    <x v="4"/>
    <s v="Shree Retail"/>
    <s v="Mumbai"/>
    <s v="shree.retail@example.com"/>
    <x v="0"/>
    <n v="2"/>
    <n v="4400"/>
    <s v="UPI"/>
    <x v="0"/>
    <x v="98"/>
  </r>
  <r>
    <s v="T2-0105"/>
    <x v="85"/>
    <n v="46256"/>
    <x v="0"/>
    <x v="5"/>
    <x v="3"/>
    <x v="5"/>
    <s v="Bright Solutions"/>
    <s v="Pune"/>
    <s v="bright.solutions@example.com"/>
    <x v="1"/>
    <n v="14"/>
    <n v="5300"/>
    <s v="UPI"/>
    <x v="0"/>
    <x v="77"/>
  </r>
  <r>
    <s v="T2-0106"/>
    <x v="86"/>
    <n v="46142"/>
    <x v="4"/>
    <x v="1"/>
    <x v="3"/>
    <x v="6"/>
    <s v="Aarav Enterprises"/>
    <s v="Nashik"/>
    <s v="aarav.enterprises@example.com"/>
    <x v="2"/>
    <n v="25"/>
    <n v="1200"/>
    <s v="Card"/>
    <x v="2"/>
    <x v="99"/>
  </r>
  <r>
    <s v="T2-0107"/>
    <x v="41"/>
    <n v="46034"/>
    <x v="0"/>
    <x v="1"/>
    <x v="1"/>
    <x v="2"/>
    <s v="Sai Services"/>
    <s v="Nagpur"/>
    <s v="sai.services@example.com"/>
    <x v="0"/>
    <n v="23"/>
    <n v="80"/>
    <s v="Card"/>
    <x v="0"/>
    <x v="100"/>
  </r>
  <r>
    <s v="T2-0108"/>
    <x v="87"/>
    <n v="46051"/>
    <x v="2"/>
    <x v="2"/>
    <x v="1"/>
    <x v="11"/>
    <s v="Aarav Enterprises"/>
    <s v="Nashik"/>
    <s v="aarav.enterprises@example.com"/>
    <x v="0"/>
    <n v="14"/>
    <n v="10000"/>
    <s v="Bank Transfer"/>
    <x v="2"/>
    <x v="101"/>
  </r>
  <r>
    <s v="T2-0109"/>
    <x v="88"/>
    <n v="46231"/>
    <x v="0"/>
    <x v="5"/>
    <x v="3"/>
    <x v="6"/>
    <s v="Metro Traders"/>
    <s v="Nagpur"/>
    <s v="metro.traders@example.com"/>
    <x v="0"/>
    <n v="12"/>
    <n v="1700"/>
    <s v="UPI"/>
    <x v="0"/>
    <x v="102"/>
  </r>
  <r>
    <s v="T2-0110"/>
    <x v="80"/>
    <n v="46237"/>
    <x v="2"/>
    <x v="4"/>
    <x v="0"/>
    <x v="1"/>
    <s v="Shree Retail"/>
    <s v="Nashik"/>
    <s v="shree.retail@example.com"/>
    <x v="2"/>
    <n v="11"/>
    <n v="19100"/>
    <s v="Card"/>
    <x v="0"/>
    <x v="103"/>
  </r>
  <r>
    <s v="T2-0111"/>
    <x v="89"/>
    <n v="46207"/>
    <x v="0"/>
    <x v="2"/>
    <x v="0"/>
    <x v="1"/>
    <s v="Nexus Pvt Ltd"/>
    <s v="Mumbai"/>
    <s v="nexus.pvt.ltd@example.com"/>
    <x v="1"/>
    <n v="7"/>
    <n v="27800"/>
    <s v="Card"/>
    <x v="0"/>
    <x v="104"/>
  </r>
  <r>
    <s v="T2-0112"/>
    <x v="75"/>
    <n v="46283"/>
    <x v="1"/>
    <x v="0"/>
    <x v="0"/>
    <x v="1"/>
    <s v="Urban Mart"/>
    <s v="Aurangabad"/>
    <s v="urban.mart@example.com"/>
    <x v="1"/>
    <n v="21"/>
    <n v="27700"/>
    <s v="Cash"/>
    <x v="0"/>
    <x v="105"/>
  </r>
  <r>
    <s v="T2-0113"/>
    <x v="90"/>
    <n v="46183"/>
    <x v="3"/>
    <x v="5"/>
    <x v="0"/>
    <x v="14"/>
    <s v="Aarav Enterprises"/>
    <s v="Pune"/>
    <s v="aarav.enterprises@example.com"/>
    <x v="1"/>
    <n v="15"/>
    <n v="18300"/>
    <s v="Bank Transfer"/>
    <x v="0"/>
    <x v="106"/>
  </r>
  <r>
    <s v="T2-0114"/>
    <x v="91"/>
    <n v="46079"/>
    <x v="2"/>
    <x v="5"/>
    <x v="1"/>
    <x v="2"/>
    <s v="Sai Services"/>
    <s v="Aurangabad"/>
    <s v="sai.services@example.com"/>
    <x v="0"/>
    <n v="2"/>
    <n v="80"/>
    <s v="Bank Transfer"/>
    <x v="3"/>
    <x v="36"/>
  </r>
  <r>
    <s v="T2-0115"/>
    <x v="13"/>
    <n v="46275"/>
    <x v="4"/>
    <x v="3"/>
    <x v="2"/>
    <x v="4"/>
    <s v="Nexus Pvt Ltd"/>
    <s v="Pune"/>
    <s v="nexus.pvt.ltd@example.com"/>
    <x v="1"/>
    <n v="23"/>
    <n v="6300"/>
    <s v="UPI"/>
    <x v="0"/>
    <x v="107"/>
  </r>
  <r>
    <s v="T2-0116"/>
    <x v="92"/>
    <n v="46255"/>
    <x v="3"/>
    <x v="4"/>
    <x v="2"/>
    <x v="12"/>
    <s v="Nexus Pvt Ltd"/>
    <s v="Nashik"/>
    <s v="nexus.pvt.ltd@example.com"/>
    <x v="1"/>
    <n v="14"/>
    <n v="10100"/>
    <s v="Cash"/>
    <x v="2"/>
    <x v="108"/>
  </r>
  <r>
    <s v="T2-0117"/>
    <x v="93"/>
    <n v="46193"/>
    <x v="3"/>
    <x v="4"/>
    <x v="0"/>
    <x v="8"/>
    <s v="Sai Services"/>
    <s v="Aurangabad"/>
    <s v="sai.services@example.com"/>
    <x v="2"/>
    <n v="11"/>
    <n v="15300"/>
    <s v="UPI"/>
    <x v="0"/>
    <x v="109"/>
  </r>
  <r>
    <s v="T2-0118"/>
    <x v="94"/>
    <n v="46226"/>
    <x v="3"/>
    <x v="5"/>
    <x v="2"/>
    <x v="4"/>
    <s v="Shree Retail"/>
    <s v="Nagpur"/>
    <s v="shree.retail@example.com"/>
    <x v="0"/>
    <n v="11"/>
    <n v="4400"/>
    <s v="Card"/>
    <x v="2"/>
    <x v="110"/>
  </r>
  <r>
    <s v="T2-0119"/>
    <x v="79"/>
    <n v="46209"/>
    <x v="3"/>
    <x v="1"/>
    <x v="0"/>
    <x v="14"/>
    <s v="Metro Traders"/>
    <s v="Mumbai"/>
    <s v="metro.traders@example.com"/>
    <x v="1"/>
    <n v="25"/>
    <n v="20000"/>
    <s v="Bank Transfer"/>
    <x v="0"/>
    <x v="111"/>
  </r>
  <r>
    <s v="T2-0120"/>
    <x v="95"/>
    <n v="46176"/>
    <x v="3"/>
    <x v="5"/>
    <x v="2"/>
    <x v="9"/>
    <s v="Aarav Enterprises"/>
    <s v="Mumbai"/>
    <s v="aarav.enterprises@example.com"/>
    <x v="0"/>
    <n v="13"/>
    <n v="6900"/>
    <s v="Card"/>
    <x v="0"/>
    <x v="112"/>
  </r>
  <r>
    <s v="T2-0121"/>
    <x v="82"/>
    <n v="46239"/>
    <x v="2"/>
    <x v="5"/>
    <x v="2"/>
    <x v="10"/>
    <s v="Kiran Stores"/>
    <s v="Nashik"/>
    <s v="kiran.stores@example.com"/>
    <x v="0"/>
    <n v="15"/>
    <n v="2000"/>
    <s v="Card"/>
    <x v="0"/>
    <x v="99"/>
  </r>
  <r>
    <s v="T2-0122"/>
    <x v="76"/>
    <n v="46222"/>
    <x v="2"/>
    <x v="4"/>
    <x v="1"/>
    <x v="13"/>
    <s v="Urban Mart"/>
    <s v="Nagpur"/>
    <s v="urban.mart@example.com"/>
    <x v="0"/>
    <n v="17"/>
    <n v="40"/>
    <s v="Bank Transfer"/>
    <x v="3"/>
    <x v="32"/>
  </r>
  <r>
    <s v="T2-0123"/>
    <x v="96"/>
    <n v="46152"/>
    <x v="3"/>
    <x v="5"/>
    <x v="2"/>
    <x v="9"/>
    <s v="Urban Mart"/>
    <s v="Pune"/>
    <s v="urban.mart@example.com"/>
    <x v="0"/>
    <n v="17"/>
    <n v="17100"/>
    <s v="UPI"/>
    <x v="0"/>
    <x v="113"/>
  </r>
  <r>
    <s v="T2-0124"/>
    <x v="97"/>
    <n v="46288"/>
    <x v="4"/>
    <x v="1"/>
    <x v="2"/>
    <x v="4"/>
    <s v="Sai Services"/>
    <s v="Nagpur"/>
    <s v="sai.services@example.com"/>
    <x v="1"/>
    <n v="1"/>
    <n v="5300"/>
    <s v="Bank Transfer"/>
    <x v="0"/>
    <x v="114"/>
  </r>
  <r>
    <s v="T2-0125"/>
    <x v="98"/>
    <n v="46070"/>
    <x v="4"/>
    <x v="4"/>
    <x v="1"/>
    <x v="3"/>
    <s v="Kiran Stores"/>
    <s v="Pune"/>
    <s v="kiran.stores@example.com"/>
    <x v="0"/>
    <n v="21"/>
    <n v="16800"/>
    <s v="Cash"/>
    <x v="2"/>
    <x v="115"/>
  </r>
  <r>
    <s v="T2-0126"/>
    <x v="99"/>
    <n v="46276"/>
    <x v="2"/>
    <x v="3"/>
    <x v="2"/>
    <x v="12"/>
    <s v="Nexus Pvt Ltd"/>
    <s v="Aurangabad"/>
    <m/>
    <x v="2"/>
    <n v="3"/>
    <n v="10600"/>
    <s v="UPI"/>
    <x v="0"/>
    <x v="116"/>
  </r>
  <r>
    <s v="T2-0127"/>
    <x v="62"/>
    <n v="46174"/>
    <x v="4"/>
    <x v="2"/>
    <x v="2"/>
    <x v="10"/>
    <s v="Bright Solutions"/>
    <s v="Mumbai"/>
    <s v="bright.solutions@example.com"/>
    <x v="1"/>
    <n v="21"/>
    <n v="2500"/>
    <s v="Bank Transfer"/>
    <x v="0"/>
    <x v="117"/>
  </r>
  <r>
    <s v="T2-0128"/>
    <x v="100"/>
    <n v="46296"/>
    <x v="0"/>
    <x v="4"/>
    <x v="3"/>
    <x v="7"/>
    <s v="Kiran Stores"/>
    <s v="Nagpur"/>
    <s v="kiran.stores@example.com"/>
    <x v="2"/>
    <n v="20"/>
    <n v="2700"/>
    <s v="Cash"/>
    <x v="0"/>
    <x v="118"/>
  </r>
  <r>
    <s v="T2-0129"/>
    <x v="101"/>
    <n v="46297"/>
    <x v="1"/>
    <x v="5"/>
    <x v="3"/>
    <x v="15"/>
    <s v="Shree Retail"/>
    <s v="Aurangabad"/>
    <s v="shree.retail@example.com"/>
    <x v="0"/>
    <n v="18"/>
    <n v="600"/>
    <s v="UPI"/>
    <x v="0"/>
    <x v="119"/>
  </r>
  <r>
    <s v="T2-0130"/>
    <x v="102"/>
    <n v="46227"/>
    <x v="4"/>
    <x v="4"/>
    <x v="3"/>
    <x v="7"/>
    <s v="Bright Solutions"/>
    <s v="Pune"/>
    <s v="bright.solutions@example.com"/>
    <x v="1"/>
    <n v="8"/>
    <n v="2700"/>
    <s v="UPI"/>
    <x v="2"/>
    <x v="120"/>
  </r>
  <r>
    <s v="T2-0131"/>
    <x v="51"/>
    <n v="46212"/>
    <x v="0"/>
    <x v="0"/>
    <x v="1"/>
    <x v="3"/>
    <s v="Metro Traders"/>
    <s v="Nagpur"/>
    <s v="metro.traders@example.com"/>
    <x v="0"/>
    <n v="16"/>
    <n v="8100"/>
    <s v="Card"/>
    <x v="1"/>
    <x v="121"/>
  </r>
  <r>
    <s v="T2-0132"/>
    <x v="10"/>
    <n v="46177"/>
    <x v="0"/>
    <x v="2"/>
    <x v="0"/>
    <x v="14"/>
    <s v="Aarav Enterprises"/>
    <s v="Nashik"/>
    <s v="aarav.enterprises@example.com"/>
    <x v="1"/>
    <n v="17"/>
    <n v="7900"/>
    <s v="Bank Transfer"/>
    <x v="3"/>
    <x v="122"/>
  </r>
  <r>
    <s v="T2-0133"/>
    <x v="49"/>
    <n v="46125"/>
    <x v="4"/>
    <x v="0"/>
    <x v="3"/>
    <x v="6"/>
    <s v="Metro Traders"/>
    <s v="Nashik"/>
    <s v="metro.traders@example.com"/>
    <x v="1"/>
    <n v="4"/>
    <n v="1200"/>
    <s v="Cash"/>
    <x v="0"/>
    <x v="123"/>
  </r>
  <r>
    <s v="T2-0134"/>
    <x v="103"/>
    <n v="46199"/>
    <x v="2"/>
    <x v="4"/>
    <x v="3"/>
    <x v="5"/>
    <s v="Urban Mart"/>
    <s v="Aurangabad"/>
    <s v="urban.mart@example.com"/>
    <x v="1"/>
    <n v="3"/>
    <n v="3900"/>
    <s v="Bank Transfer"/>
    <x v="0"/>
    <x v="124"/>
  </r>
  <r>
    <s v="T2-0135"/>
    <x v="28"/>
    <n v="46077"/>
    <x v="3"/>
    <x v="4"/>
    <x v="2"/>
    <x v="4"/>
    <s v="Metro Traders"/>
    <s v="Nagpur"/>
    <s v="metro.traders@example.com"/>
    <x v="0"/>
    <n v="23"/>
    <n v="4500"/>
    <s v="Bank Transfer"/>
    <x v="0"/>
    <x v="125"/>
  </r>
  <r>
    <s v="T2-0136"/>
    <x v="87"/>
    <n v="46056"/>
    <x v="1"/>
    <x v="3"/>
    <x v="3"/>
    <x v="6"/>
    <s v="Metro Traders"/>
    <s v="Nashik"/>
    <s v="metro.traders@example.com"/>
    <x v="0"/>
    <n v="2"/>
    <n v="3800"/>
    <s v="UPI"/>
    <x v="2"/>
    <x v="126"/>
  </r>
  <r>
    <s v="T2-0137"/>
    <x v="104"/>
    <n v="46105"/>
    <x v="1"/>
    <x v="0"/>
    <x v="3"/>
    <x v="6"/>
    <s v="Nexus Pvt Ltd"/>
    <s v="Nagpur"/>
    <s v="nexus.pvt.ltd@example.com"/>
    <x v="2"/>
    <n v="5"/>
    <n v="4200"/>
    <s v="UPI"/>
    <x v="0"/>
    <x v="127"/>
  </r>
  <r>
    <s v="T2-0138"/>
    <x v="105"/>
    <n v="46049"/>
    <x v="2"/>
    <x v="4"/>
    <x v="1"/>
    <x v="2"/>
    <s v="Nexus Pvt Ltd"/>
    <s v="Nashik"/>
    <s v="nexus.pvt.ltd@example.com"/>
    <x v="1"/>
    <n v="25"/>
    <n v="180"/>
    <s v="UPI"/>
    <x v="0"/>
    <x v="128"/>
  </r>
  <r>
    <s v="T2-0139"/>
    <x v="106"/>
    <n v="46169"/>
    <x v="4"/>
    <x v="0"/>
    <x v="1"/>
    <x v="13"/>
    <s v="Shree Retail"/>
    <s v="Mumbai"/>
    <s v="shree.retail@example.com"/>
    <x v="1"/>
    <n v="17"/>
    <n v="140"/>
    <s v="Bank Transfer"/>
    <x v="3"/>
    <x v="129"/>
  </r>
  <r>
    <s v="T2-0140"/>
    <x v="38"/>
    <n v="46255"/>
    <x v="2"/>
    <x v="1"/>
    <x v="0"/>
    <x v="8"/>
    <s v="Bright Solutions"/>
    <s v="Pune"/>
    <s v="bright.solutions@example.com"/>
    <x v="2"/>
    <n v="3"/>
    <n v="25300"/>
    <s v="Bank Transfer"/>
    <x v="0"/>
    <x v="130"/>
  </r>
  <r>
    <s v="T2-0141"/>
    <x v="107"/>
    <n v="46197"/>
    <x v="4"/>
    <x v="5"/>
    <x v="3"/>
    <x v="7"/>
    <s v="Metro Traders"/>
    <s v="Aurangabad"/>
    <s v="metro.traders@example.com"/>
    <x v="1"/>
    <n v="10"/>
    <n v="2800"/>
    <s v="Card"/>
    <x v="2"/>
    <x v="31"/>
  </r>
  <r>
    <s v="T2-0142"/>
    <x v="108"/>
    <n v="46139"/>
    <x v="0"/>
    <x v="1"/>
    <x v="2"/>
    <x v="4"/>
    <s v="Kiran Stores"/>
    <s v="Nagpur"/>
    <s v="kiran.stores@example.com"/>
    <x v="2"/>
    <n v="12"/>
    <n v="5700"/>
    <s v="Cash"/>
    <x v="0"/>
    <x v="131"/>
  </r>
  <r>
    <s v="T2-0143"/>
    <x v="109"/>
    <n v="46188"/>
    <x v="1"/>
    <x v="3"/>
    <x v="2"/>
    <x v="12"/>
    <s v="Urban Mart"/>
    <s v="Nagpur"/>
    <s v="urban.mart@example.com"/>
    <x v="0"/>
    <n v="3"/>
    <n v="7800"/>
    <s v="Card"/>
    <x v="3"/>
    <x v="132"/>
  </r>
  <r>
    <s v="T2-0144"/>
    <x v="14"/>
    <n v="46293"/>
    <x v="1"/>
    <x v="0"/>
    <x v="0"/>
    <x v="16"/>
    <s v="Nexus Pvt Ltd"/>
    <s v="Aurangabad"/>
    <s v="nexus.pvt.ltd@example.com"/>
    <x v="2"/>
    <n v="25"/>
    <n v="18900"/>
    <s v="Card"/>
    <x v="0"/>
    <x v="133"/>
  </r>
  <r>
    <s v="T2-0145"/>
    <x v="110"/>
    <n v="46106"/>
    <x v="0"/>
    <x v="4"/>
    <x v="0"/>
    <x v="0"/>
    <s v="Nexus Pvt Ltd"/>
    <s v="Mumbai"/>
    <s v="nexus.pvt.ltd@example.com"/>
    <x v="1"/>
    <n v="17"/>
    <n v="66500"/>
    <s v="Cash"/>
    <x v="1"/>
    <x v="134"/>
  </r>
  <r>
    <s v="T2-0146"/>
    <x v="111"/>
    <n v="46098"/>
    <x v="1"/>
    <x v="5"/>
    <x v="1"/>
    <x v="3"/>
    <s v="Bright Solutions"/>
    <s v="Pune"/>
    <s v="bright.solutions@example.com"/>
    <x v="0"/>
    <n v="21"/>
    <n v="14000"/>
    <s v="Card"/>
    <x v="0"/>
    <x v="135"/>
  </r>
  <r>
    <s v="T2-0147"/>
    <x v="112"/>
    <n v="46205"/>
    <x v="4"/>
    <x v="2"/>
    <x v="2"/>
    <x v="9"/>
    <s v="Aarav Enterprises"/>
    <s v="Pune"/>
    <s v="aarav.enterprises@example.com"/>
    <x v="0"/>
    <n v="25"/>
    <n v="14400"/>
    <s v="Cash"/>
    <x v="2"/>
    <x v="95"/>
  </r>
  <r>
    <s v="T2-0148"/>
    <x v="113"/>
    <n v="46182"/>
    <x v="2"/>
    <x v="1"/>
    <x v="3"/>
    <x v="7"/>
    <s v="Bright Solutions"/>
    <s v="Nagpur"/>
    <s v="bright.solutions@example.com"/>
    <x v="1"/>
    <n v="15"/>
    <n v="2200"/>
    <s v="UPI"/>
    <x v="2"/>
    <x v="136"/>
  </r>
  <r>
    <s v="T2-0149"/>
    <x v="52"/>
    <n v="46278"/>
    <x v="3"/>
    <x v="5"/>
    <x v="2"/>
    <x v="10"/>
    <s v="Kiran Stores"/>
    <s v="Mumbai"/>
    <s v="kiran.stores@example.com"/>
    <x v="1"/>
    <n v="23"/>
    <n v="4400"/>
    <s v="Cash"/>
    <x v="2"/>
    <x v="137"/>
  </r>
  <r>
    <s v="T2-0150"/>
    <x v="27"/>
    <n v="46221"/>
    <x v="3"/>
    <x v="1"/>
    <x v="1"/>
    <x v="13"/>
    <s v="Shree Retail"/>
    <s v="Nagpur"/>
    <s v="shree.retail@example.com"/>
    <x v="2"/>
    <n v="9"/>
    <n v="40"/>
    <s v="Bank Transfer"/>
    <x v="0"/>
    <x v="81"/>
  </r>
  <r>
    <s v="T2-0151"/>
    <x v="114"/>
    <n v="46229"/>
    <x v="0"/>
    <x v="1"/>
    <x v="0"/>
    <x v="0"/>
    <s v="Sai Services"/>
    <s v="Nashik"/>
    <s v="sai.services@example.com"/>
    <x v="0"/>
    <n v="24"/>
    <n v="54800"/>
    <s v="Cash"/>
    <x v="0"/>
    <x v="138"/>
  </r>
  <r>
    <s v="T2-0152"/>
    <x v="73"/>
    <n v="46270"/>
    <x v="2"/>
    <x v="2"/>
    <x v="2"/>
    <x v="10"/>
    <s v="Bright Solutions"/>
    <s v="Pune"/>
    <s v="bright.solutions@example.com"/>
    <x v="1"/>
    <n v="17"/>
    <n v="5000"/>
    <s v="Bank Transfer"/>
    <x v="3"/>
    <x v="139"/>
  </r>
  <r>
    <s v="T2-0153"/>
    <x v="71"/>
    <n v="46053"/>
    <x v="1"/>
    <x v="0"/>
    <x v="2"/>
    <x v="4"/>
    <s v="Urban Mart"/>
    <s v="Nagpur"/>
    <s v="urban.mart@example.com"/>
    <x v="1"/>
    <n v="18"/>
    <n v="2800"/>
    <s v="UPI"/>
    <x v="1"/>
    <x v="7"/>
  </r>
  <r>
    <s v="T2-0154"/>
    <x v="115"/>
    <n v="46217"/>
    <x v="4"/>
    <x v="3"/>
    <x v="3"/>
    <x v="15"/>
    <s v="Metro Traders"/>
    <s v="Pune"/>
    <s v="metro.traders@example.com"/>
    <x v="0"/>
    <n v="18"/>
    <n v="1200"/>
    <s v="Card"/>
    <x v="0"/>
    <x v="120"/>
  </r>
  <r>
    <s v="T2-0155"/>
    <x v="116"/>
    <n v="46289"/>
    <x v="1"/>
    <x v="0"/>
    <x v="1"/>
    <x v="11"/>
    <s v="Bright Solutions"/>
    <s v="Aurangabad"/>
    <s v="bright.solutions@example.com"/>
    <x v="2"/>
    <n v="5"/>
    <n v="9900"/>
    <s v="UPI"/>
    <x v="0"/>
    <x v="140"/>
  </r>
  <r>
    <s v="T2-0156"/>
    <x v="11"/>
    <n v="46134"/>
    <x v="1"/>
    <x v="2"/>
    <x v="1"/>
    <x v="2"/>
    <s v="Sai Services"/>
    <s v="Pune"/>
    <s v="sai.services@example.com"/>
    <x v="2"/>
    <n v="5"/>
    <n v="80"/>
    <s v="Cash"/>
    <x v="1"/>
    <x v="141"/>
  </r>
  <r>
    <s v="T2-0157"/>
    <x v="117"/>
    <n v="46100"/>
    <x v="0"/>
    <x v="3"/>
    <x v="3"/>
    <x v="15"/>
    <s v="Metro Traders"/>
    <s v="Aurangabad"/>
    <s v="metro.traders@example.com"/>
    <x v="0"/>
    <n v="10"/>
    <n v="2000"/>
    <s v="Cash"/>
    <x v="0"/>
    <x v="142"/>
  </r>
  <r>
    <s v="T2-0158"/>
    <x v="118"/>
    <n v="46037"/>
    <x v="4"/>
    <x v="3"/>
    <x v="3"/>
    <x v="6"/>
    <s v="Metro Traders"/>
    <s v="Aurangabad"/>
    <s v="metro.traders@example.com"/>
    <x v="1"/>
    <n v="24"/>
    <n v="4000"/>
    <s v="UPI"/>
    <x v="0"/>
    <x v="143"/>
  </r>
  <r>
    <s v="T2-0159"/>
    <x v="119"/>
    <n v="46271"/>
    <x v="0"/>
    <x v="0"/>
    <x v="1"/>
    <x v="3"/>
    <s v="Sai Services"/>
    <s v="Mumbai"/>
    <s v="sai.services@example.com"/>
    <x v="2"/>
    <n v="19"/>
    <n v="8300"/>
    <s v="UPI"/>
    <x v="0"/>
    <x v="144"/>
  </r>
  <r>
    <s v="T2-0160"/>
    <x v="120"/>
    <n v="46107"/>
    <x v="2"/>
    <x v="5"/>
    <x v="3"/>
    <x v="6"/>
    <s v="Kiran Stores"/>
    <s v="Aurangabad"/>
    <s v="kiran.stores@example.com"/>
    <x v="3"/>
    <n v="24"/>
    <n v="3600"/>
    <s v="UPI"/>
    <x v="2"/>
    <x v="145"/>
  </r>
  <r>
    <s v="T2-0161"/>
    <x v="21"/>
    <n v="46276"/>
    <x v="3"/>
    <x v="1"/>
    <x v="2"/>
    <x v="4"/>
    <s v="Sai Services"/>
    <s v="Nagpur"/>
    <s v="sai.services@example.com"/>
    <x v="0"/>
    <n v="11"/>
    <n v="6700"/>
    <s v="Cash"/>
    <x v="2"/>
    <x v="146"/>
  </r>
  <r>
    <s v="T2-0162"/>
    <x v="22"/>
    <n v="46154"/>
    <x v="0"/>
    <x v="4"/>
    <x v="1"/>
    <x v="13"/>
    <s v="Bright Solutions"/>
    <s v="Nashik"/>
    <s v="bright.solutions@example.com"/>
    <x v="0"/>
    <n v="7"/>
    <n v="40"/>
    <s v="Bank Transfer"/>
    <x v="0"/>
    <x v="147"/>
  </r>
  <r>
    <s v="T2-0163"/>
    <x v="121"/>
    <n v="46095"/>
    <x v="2"/>
    <x v="4"/>
    <x v="1"/>
    <x v="2"/>
    <s v="Sai Services"/>
    <s v="Mumbai"/>
    <s v="sai.services@example.com"/>
    <x v="1"/>
    <n v="2"/>
    <n v="180"/>
    <s v="Cash"/>
    <x v="3"/>
    <x v="81"/>
  </r>
  <r>
    <s v="T2-0164"/>
    <x v="122"/>
    <n v="46166"/>
    <x v="0"/>
    <x v="1"/>
    <x v="0"/>
    <x v="8"/>
    <s v="Urban Mart"/>
    <s v="Aurangabad"/>
    <s v="urban.mart@example.com"/>
    <x v="1"/>
    <n v="18"/>
    <n v="34600"/>
    <s v="Cash"/>
    <x v="0"/>
    <x v="148"/>
  </r>
  <r>
    <s v="T2-0165"/>
    <x v="123"/>
    <n v="46298"/>
    <x v="4"/>
    <x v="2"/>
    <x v="2"/>
    <x v="9"/>
    <s v="Kiran Stores"/>
    <s v="Nagpur"/>
    <s v="kiran.stores@example.com"/>
    <x v="1"/>
    <n v="23"/>
    <n v="6600"/>
    <s v="Bank Transfer"/>
    <x v="0"/>
    <x v="149"/>
  </r>
  <r>
    <s v="T2-0166"/>
    <x v="70"/>
    <n v="46110"/>
    <x v="2"/>
    <x v="0"/>
    <x v="2"/>
    <x v="12"/>
    <s v="Urban Mart"/>
    <s v="Mumbai"/>
    <s v="urban.mart@example.com"/>
    <x v="1"/>
    <n v="11"/>
    <n v="14000"/>
    <s v="Cash"/>
    <x v="0"/>
    <x v="150"/>
  </r>
  <r>
    <s v="T2-0167"/>
    <x v="124"/>
    <n v="46045"/>
    <x v="0"/>
    <x v="2"/>
    <x v="0"/>
    <x v="1"/>
    <s v="Sai Services"/>
    <s v="Nagpur"/>
    <s v="sai.services@example.com"/>
    <x v="1"/>
    <n v="6"/>
    <n v="21600"/>
    <s v="Cash"/>
    <x v="1"/>
    <x v="121"/>
  </r>
  <r>
    <s v="T2-0168"/>
    <x v="125"/>
    <n v="46199"/>
    <x v="1"/>
    <x v="5"/>
    <x v="0"/>
    <x v="8"/>
    <s v="Urban Mart"/>
    <s v="Nagpur"/>
    <s v="urban.mart@example.com"/>
    <x v="2"/>
    <n v="17"/>
    <n v="17400"/>
    <s v="Bank Transfer"/>
    <x v="0"/>
    <x v="151"/>
  </r>
  <r>
    <s v="T2-0169"/>
    <x v="7"/>
    <n v="46268"/>
    <x v="0"/>
    <x v="2"/>
    <x v="0"/>
    <x v="8"/>
    <s v="Bright Solutions"/>
    <s v="Nashik"/>
    <s v="bright.solutions@example.com"/>
    <x v="1"/>
    <n v="19"/>
    <n v="20300"/>
    <s v="Card"/>
    <x v="0"/>
    <x v="152"/>
  </r>
  <r>
    <s v="T2-0170"/>
    <x v="74"/>
    <n v="46192"/>
    <x v="4"/>
    <x v="1"/>
    <x v="3"/>
    <x v="5"/>
    <s v="Sai Services"/>
    <s v="Mumbai"/>
    <s v="sai.services@example.com"/>
    <x v="1"/>
    <n v="11"/>
    <n v="4700"/>
    <s v="Card"/>
    <x v="0"/>
    <x v="153"/>
  </r>
  <r>
    <s v="T2-0171"/>
    <x v="58"/>
    <n v="46165"/>
    <x v="1"/>
    <x v="0"/>
    <x v="3"/>
    <x v="15"/>
    <s v="Bright Solutions"/>
    <s v="Aurangabad"/>
    <s v="bright.solutions@example.com"/>
    <x v="2"/>
    <n v="9"/>
    <n v="1800"/>
    <s v="Cash"/>
    <x v="2"/>
    <x v="154"/>
  </r>
  <r>
    <s v="T2-0172"/>
    <x v="126"/>
    <n v="46183"/>
    <x v="1"/>
    <x v="0"/>
    <x v="0"/>
    <x v="0"/>
    <s v="Sai Services"/>
    <s v="Nashik"/>
    <s v="sai.services@example.com"/>
    <x v="0"/>
    <n v="4"/>
    <n v="63800"/>
    <s v="Cash"/>
    <x v="0"/>
    <x v="155"/>
  </r>
  <r>
    <s v="T2-0173"/>
    <x v="21"/>
    <n v="46270"/>
    <x v="1"/>
    <x v="4"/>
    <x v="2"/>
    <x v="9"/>
    <s v="Urban Mart"/>
    <s v="Nagpur"/>
    <s v="urban.mart@example.com"/>
    <x v="0"/>
    <n v="18"/>
    <n v="7700"/>
    <s v="Bank Transfer"/>
    <x v="2"/>
    <x v="156"/>
  </r>
  <r>
    <s v="T2-0174"/>
    <x v="98"/>
    <n v="46073"/>
    <x v="1"/>
    <x v="0"/>
    <x v="2"/>
    <x v="9"/>
    <s v="Urban Mart"/>
    <s v="Nashik"/>
    <s v="urban.mart@example.com"/>
    <x v="2"/>
    <n v="19"/>
    <n v="14700"/>
    <s v="UPI"/>
    <x v="0"/>
    <x v="157"/>
  </r>
  <r>
    <s v="T2-0175"/>
    <x v="74"/>
    <n v="46199"/>
    <x v="4"/>
    <x v="0"/>
    <x v="2"/>
    <x v="9"/>
    <s v="Urban Mart"/>
    <s v="Mumbai"/>
    <s v="urban.mart@example.com"/>
    <x v="0"/>
    <n v="19"/>
    <n v="8100"/>
    <s v="Bank Transfer"/>
    <x v="0"/>
    <x v="158"/>
  </r>
  <r>
    <s v="T2-0176"/>
    <x v="64"/>
    <n v="46099"/>
    <x v="2"/>
    <x v="5"/>
    <x v="3"/>
    <x v="7"/>
    <s v="Sai Services"/>
    <s v="Pune"/>
    <s v="sai.services@example.com"/>
    <x v="0"/>
    <n v="15"/>
    <n v="2100"/>
    <s v="Cash"/>
    <x v="2"/>
    <x v="159"/>
  </r>
  <r>
    <s v="T2-0177"/>
    <x v="127"/>
    <n v="46036"/>
    <x v="1"/>
    <x v="2"/>
    <x v="3"/>
    <x v="6"/>
    <s v="Kiran Stores"/>
    <s v="Pune"/>
    <s v="kiran.stores@example.com"/>
    <x v="1"/>
    <n v="12"/>
    <n v="6200"/>
    <s v="UPI"/>
    <x v="0"/>
    <x v="160"/>
  </r>
  <r>
    <s v="T2-0178"/>
    <x v="105"/>
    <n v="46044"/>
    <x v="0"/>
    <x v="1"/>
    <x v="0"/>
    <x v="0"/>
    <s v="Sai Services"/>
    <s v="Nagpur"/>
    <s v="sai.services@example.com"/>
    <x v="1"/>
    <n v="13"/>
    <n v="64100"/>
    <s v="Bank Transfer"/>
    <x v="1"/>
    <x v="161"/>
  </r>
  <r>
    <s v="T2-0179"/>
    <x v="128"/>
    <n v="46102"/>
    <x v="4"/>
    <x v="1"/>
    <x v="3"/>
    <x v="5"/>
    <s v="Metro Traders"/>
    <s v="Aurangabad"/>
    <s v="metro.traders@example.com"/>
    <x v="1"/>
    <n v="17"/>
    <n v="2000"/>
    <s v="Card"/>
    <x v="2"/>
    <x v="162"/>
  </r>
  <r>
    <s v="T2-0011"/>
    <x v="10"/>
    <n v="46180"/>
    <x v="2"/>
    <x v="2"/>
    <x v="1"/>
    <x v="2"/>
    <s v="Nexus Pvt Ltd"/>
    <s v="Nashik"/>
    <s v="nexus.pvt.ltd@example.com"/>
    <x v="0"/>
    <n v="25"/>
    <n v="80"/>
    <s v="Card"/>
    <x v="0"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6C9BFA-6606-4F81-952B-D7B747594673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5:L33" firstHeaderRow="1" firstDataRow="1" firstDataCol="1"/>
  <pivotFields count="16">
    <pivotField showAll="0"/>
    <pivotField showAll="0"/>
    <pivotField showAll="0"/>
    <pivotField axis="axisRow" showAll="0">
      <items count="7">
        <item x="1"/>
        <item x="0"/>
        <item x="5"/>
        <item x="2"/>
        <item x="3"/>
        <item x="4"/>
        <item t="default"/>
      </items>
    </pivotField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2">
    <field x="3"/>
    <field x="5"/>
  </rowFields>
  <rowItems count="28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>
      <x v="3"/>
    </i>
    <i r="1">
      <x/>
    </i>
    <i r="1">
      <x v="1"/>
    </i>
    <i r="1">
      <x v="2"/>
    </i>
    <i r="1">
      <x v="3"/>
    </i>
    <i>
      <x v="4"/>
    </i>
    <i r="1">
      <x/>
    </i>
    <i r="1">
      <x v="1"/>
    </i>
    <i r="1">
      <x v="2"/>
    </i>
    <i r="1">
      <x v="3"/>
    </i>
    <i>
      <x v="5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Sum of Total_Sales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0E807B-B2E2-44A4-A5C1-43C675DA9FD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5:F10" firstHeaderRow="1" firstDataRow="1" firstDataCol="1"/>
  <pivotFields count="16">
    <pivotField subtotalTop="0" showAll="0"/>
    <pivotField subtotalTop="0" showAll="0"/>
    <pivotField subtotalTop="0" showAll="0"/>
    <pivotField subtotalTop="0" showAll="0">
      <items count="7">
        <item x="1"/>
        <item x="0"/>
        <item x="5"/>
        <item x="2"/>
        <item x="3"/>
        <item x="4"/>
        <item t="default"/>
      </items>
    </pivotField>
    <pivotField subtotalTop="0" showAll="0"/>
    <pivotField axis="axisRow" subtotalTop="0" showAll="0">
      <items count="5">
        <item x="3"/>
        <item x="0"/>
        <item x="2"/>
        <item x="1"/>
        <item t="default"/>
      </items>
    </pivotField>
    <pivotField subtotalTop="0" showAll="0"/>
    <pivotField subtotalTop="0" showAll="0"/>
    <pivotField subtotalTop="0" showAll="0"/>
    <pivotField subtotalTop="0" showAll="0"/>
    <pivotField subtotalTop="0" showAll="0"/>
    <pivotField dataField="1" subtotalTop="0" showAll="0"/>
    <pivotField subtotalTop="0" showAll="0"/>
    <pivotField subtotalTop="0" showAll="0"/>
    <pivotField subtotalTop="0" showAll="0"/>
    <pivotField subtotalTop="0"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Units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A996F1-40E2-4C8F-BFC8-51C2FBFB3871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40:J48" firstHeaderRow="1" firstDataRow="2" firstDataCol="1"/>
  <pivotFields count="16">
    <pivotField dataField="1" showAll="0"/>
    <pivotField showAll="0"/>
    <pivotField showAll="0"/>
    <pivotField axis="axisRow" showAll="0">
      <items count="7">
        <item x="1"/>
        <item x="0"/>
        <item x="5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1"/>
        <item x="0"/>
        <item x="2"/>
        <item x="3"/>
        <item t="default"/>
      </items>
    </pivotField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4"/>
  </colFields>
  <colItems count="5">
    <i>
      <x/>
    </i>
    <i>
      <x v="1"/>
    </i>
    <i>
      <x v="2"/>
    </i>
    <i>
      <x v="3"/>
    </i>
    <i t="grand">
      <x/>
    </i>
  </colItem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CF67D8-5C77-4A20-8987-436760B34D61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5">
  <location ref="E18:F36" firstHeaderRow="1" firstDataRow="1" firstDataCol="1"/>
  <pivotFields count="16">
    <pivotField showAll="0"/>
    <pivotField showAll="0"/>
    <pivotField showAll="0"/>
    <pivotField showAll="0">
      <items count="7">
        <item x="1"/>
        <item x="0"/>
        <item x="5"/>
        <item x="2"/>
        <item x="3"/>
        <item x="4"/>
        <item t="default"/>
      </items>
    </pivotField>
    <pivotField showAll="0"/>
    <pivotField showAll="0"/>
    <pivotField axis="axisRow" showAll="0">
      <items count="18">
        <item x="12"/>
        <item x="3"/>
        <item x="10"/>
        <item x="13"/>
        <item x="6"/>
        <item x="7"/>
        <item x="0"/>
        <item x="16"/>
        <item x="9"/>
        <item x="4"/>
        <item x="1"/>
        <item x="15"/>
        <item x="2"/>
        <item x="11"/>
        <item x="14"/>
        <item x="8"/>
        <item x="5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6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Average of Unit_Price" fld="12" subtotal="average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C03F0D-C6B0-46DD-86E1-BDD01A8D621D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>
  <location ref="H5:I13" firstHeaderRow="1" firstDataRow="1" firstDataCol="1"/>
  <pivotFields count="16">
    <pivotField showAll="0"/>
    <pivotField showAll="0"/>
    <pivotField showAll="0"/>
    <pivotField showAll="0">
      <items count="7">
        <item x="1"/>
        <item x="0"/>
        <item x="5"/>
        <item x="2"/>
        <item x="3"/>
        <item x="4"/>
        <item t="default"/>
      </items>
    </pivotField>
    <pivotField axis="axisRow" showAll="0" sortType="descending">
      <items count="8">
        <item x="6"/>
        <item x="4"/>
        <item x="3"/>
        <item x="1"/>
        <item x="2"/>
        <item x="5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4"/>
  </rowFields>
  <rowItems count="8">
    <i>
      <x v="4"/>
    </i>
    <i>
      <x v="3"/>
    </i>
    <i>
      <x v="6"/>
    </i>
    <i>
      <x v="5"/>
    </i>
    <i>
      <x v="1"/>
    </i>
    <i>
      <x v="2"/>
    </i>
    <i>
      <x/>
    </i>
    <i t="grand">
      <x/>
    </i>
  </rowItems>
  <colItems count="1">
    <i/>
  </colItems>
  <dataFields count="1">
    <dataField name="Sum of Total_Sales" fld="15" baseField="0" baseItem="0"/>
  </dataFields>
  <formats count="1">
    <format dxfId="5">
      <pivotArea collapsedLevelsAreSubtotals="1" fieldPosition="0">
        <references count="1">
          <reference field="4" count="0"/>
        </references>
      </pivotArea>
    </format>
  </formats>
  <chartFormats count="2">
    <chartFormat chart="1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4A02A7-011C-4203-A6A5-0323C909D869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51:J70" firstHeaderRow="1" firstDataRow="2" firstDataCol="1"/>
  <pivotFields count="16">
    <pivotField showAll="0"/>
    <pivotField showAll="0"/>
    <pivotField showAll="0"/>
    <pivotField showAll="0">
      <items count="7">
        <item x="1"/>
        <item x="0"/>
        <item x="5"/>
        <item x="2"/>
        <item x="3"/>
        <item x="4"/>
        <item t="default"/>
      </items>
    </pivotField>
    <pivotField showAll="0">
      <items count="8">
        <item x="6"/>
        <item x="4"/>
        <item x="3"/>
        <item x="1"/>
        <item x="2"/>
        <item x="5"/>
        <item x="0"/>
        <item t="default"/>
      </items>
    </pivotField>
    <pivotField showAll="0"/>
    <pivotField axis="axisRow" showAll="0">
      <items count="18">
        <item x="12"/>
        <item x="3"/>
        <item x="10"/>
        <item x="13"/>
        <item x="6"/>
        <item x="7"/>
        <item x="0"/>
        <item x="16"/>
        <item x="9"/>
        <item x="4"/>
        <item x="1"/>
        <item x="15"/>
        <item x="2"/>
        <item x="11"/>
        <item x="14"/>
        <item x="8"/>
        <item x="5"/>
        <item t="default"/>
      </items>
    </pivotField>
    <pivotField showAll="0"/>
    <pivotField showAll="0"/>
    <pivotField showAll="0"/>
    <pivotField axis="axisCol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6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10"/>
  </colFields>
  <colItems count="5">
    <i>
      <x/>
    </i>
    <i>
      <x v="1"/>
    </i>
    <i>
      <x v="2"/>
    </i>
    <i>
      <x v="3"/>
    </i>
    <i t="grand">
      <x/>
    </i>
  </colItems>
  <dataFields count="1">
    <dataField name="Sum of Total_Sales" fld="15" baseField="0" baseItem="0"/>
  </dataFields>
  <formats count="1">
    <format dxfId="6">
      <pivotArea outline="0" collapsedLevelsAreSubtotals="1" fieldPosition="0">
        <references count="1">
          <reference field="10" count="1" selected="0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69ADE6-D913-4ABE-AFBF-67136506F91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3:B10" firstHeaderRow="1" firstDataRow="1" firstDataCol="1"/>
  <pivotFields count="16">
    <pivotField showAll="0"/>
    <pivotField showAll="0"/>
    <pivotField showAll="0"/>
    <pivotField axis="axisRow" showAll="0">
      <items count="7">
        <item x="1"/>
        <item x="0"/>
        <item x="5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_Sales" fld="15" baseField="0" baseItem="0"/>
  </dataFields>
  <chartFormats count="8">
    <chartFormat chart="1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5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5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5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5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5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F7D903-4507-4854-8D01-6ABFFD1E97FD}" name="PivotTable5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 chartFormat="4">
  <location ref="I19:J24" firstHeaderRow="1" firstDataRow="1" firstDataCol="1"/>
  <pivotFields count="16">
    <pivotField dataField="1" showAll="0"/>
    <pivotField showAll="0"/>
    <pivotField showAll="0"/>
    <pivotField showAll="0">
      <items count="7">
        <item x="1"/>
        <item x="0"/>
        <item x="5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_ID" fld="0" subtotal="count" baseField="0" baseItem="0"/>
  </dataFields>
  <chartFormats count="5"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C84CF4-0238-4444-AD66-039DAA3D7B73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1:C58" firstHeaderRow="0" firstDataRow="1" firstDataCol="1" rowPageCount="1" colPageCount="1"/>
  <pivotFields count="16">
    <pivotField showAll="0"/>
    <pivotField showAll="0"/>
    <pivotField showAll="0"/>
    <pivotField axis="axisPage" multipleItemSelectionAllowed="1" showAll="0">
      <items count="7">
        <item h="1" x="1"/>
        <item h="1" x="0"/>
        <item x="5"/>
        <item x="2"/>
        <item h="1" x="3"/>
        <item h="1" x="4"/>
        <item t="default"/>
      </items>
    </pivotField>
    <pivotField axis="axisRow" showAll="0" sortType="descending">
      <items count="8">
        <item x="0"/>
        <item x="5"/>
        <item x="2"/>
        <item x="1"/>
        <item x="3"/>
        <item x="4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pageFields count="1">
    <pageField fld="3" hier="-1"/>
  </pageFields>
  <dataFields count="2">
    <dataField name="Sum of Total_Sales" fld="15" baseField="0" baseItem="0"/>
    <dataField name="Sum of Units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F189B49-45FA-47D5-B0A0-E7DFBBEC9C99}" autoFormatId="16" applyNumberFormats="0" applyBorderFormats="0" applyFontFormats="0" applyPatternFormats="0" applyAlignmentFormats="0" applyWidthHeightFormats="0">
  <queryTableRefresh nextId="17">
    <queryTableFields count="16">
      <queryTableField id="1" name="Order_ID" tableColumnId="1"/>
      <queryTableField id="2" name="Order_Date" tableColumnId="2"/>
      <queryTableField id="3" name="Delivery_Date" tableColumnId="3"/>
      <queryTableField id="4" name="Region" tableColumnId="4"/>
      <queryTableField id="5" name="Salesperson" tableColumnId="5"/>
      <queryTableField id="6" name="Department" tableColumnId="6"/>
      <queryTableField id="7" name="Product" tableColumnId="7"/>
      <queryTableField id="8" name="Customer_Name" tableColumnId="8"/>
      <queryTableField id="9" name="City" tableColumnId="9"/>
      <queryTableField id="10" name="Email" tableColumnId="10"/>
      <queryTableField id="11" name="Customer_Type" tableColumnId="11"/>
      <queryTableField id="12" name="Units" tableColumnId="12"/>
      <queryTableField id="13" name="Unit_Price" tableColumnId="13"/>
      <queryTableField id="14" name="Payment_Mode" tableColumnId="14"/>
      <queryTableField id="15" name="Order_Status" tableColumnId="15"/>
      <queryTableField id="16" name="Total_Sales" tableColumnId="16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A3059E-5CFC-4A39-B9DC-72A3B709BE1A}" name="SalesTable" displayName="SalesTable" ref="A1:S51" totalsRowShown="0">
  <autoFilter ref="A1:S51" xr:uid="{2D99DC0F-73EA-429A-9570-A37A94D0BF0D}"/>
  <tableColumns count="19">
    <tableColumn id="1" xr3:uid="{AF4B3F02-27DC-40CB-B469-B25D4A1B6962}" name="Order_ID "/>
    <tableColumn id="2" xr3:uid="{B884758A-0366-4002-BB6B-BA7CA7FBE195}" name="Date" dataDxfId="30"/>
    <tableColumn id="3" xr3:uid="{20C57B9C-4687-46EB-B6B4-D1CAD45A26A7}" name="Region"/>
    <tableColumn id="4" xr3:uid="{57DB3165-BE75-4EAF-95E4-B53DD263A358}" name="Salesperson"/>
    <tableColumn id="5" xr3:uid="{DFA91DCF-2B52-46B0-B15D-15BA805D18E5}" name="Product"/>
    <tableColumn id="6" xr3:uid="{8CF2EA64-6F3D-444F-81A3-4708D9B5AD6A}" name="Category"/>
    <tableColumn id="7" xr3:uid="{96B52710-9901-4608-8DBC-9094E8F782F1}" name="Units"/>
    <tableColumn id="8" xr3:uid="{498D3E31-9524-4007-8D33-AC2D6AC8C89F}" name="Unit_Price"/>
    <tableColumn id="9" xr3:uid="{E7DA3063-2F9C-4972-B49B-79FF9B1E4F3E}" name="Customer_Type"/>
    <tableColumn id="10" xr3:uid="{49988EB3-8991-4063-883A-2C7C6F47945C}" name="Payment_Mode"/>
    <tableColumn id="11" xr3:uid="{B26BFE54-DDD9-4F86-97F3-50CF204C9F71}" name="Order_Status"/>
    <tableColumn id="12" xr3:uid="{A617C480-895D-45FD-AA5B-7195BC7BB577}" name="Total sales">
      <calculatedColumnFormula>G2*H2</calculatedColumnFormula>
    </tableColumn>
    <tableColumn id="22" xr3:uid="{18285FC8-0B30-41C5-A6C2-F1EF840B0CAA}" name="Column7"/>
    <tableColumn id="21" xr3:uid="{36E5EA56-9115-4E90-88CD-4BCA32DC0E5E}" name="Column6"/>
    <tableColumn id="20" xr3:uid="{DFB3DC2E-7530-4E29-A87A-064B55F5ABE3}" name="Column5"/>
    <tableColumn id="13" xr3:uid="{55297A92-9E75-4C54-BD45-68B5B4A114C7}" name="Column1"/>
    <tableColumn id="14" xr3:uid="{B5FE5ACB-CF9C-4495-8707-201543502883}" name="Column2"/>
    <tableColumn id="15" xr3:uid="{2F291079-02E6-4887-B23C-02B2EB2875C0}" name="Column3"/>
    <tableColumn id="16" xr3:uid="{2EA19770-2F79-4BC4-92C2-330934D21B8F}" name="Column4"/>
  </tableColumns>
  <tableStyleInfo name="TableStyleMedium1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E57AA21-D352-409C-A968-EE701330886A}" name="MIS_Data" displayName="MIS_Data" ref="A1:P181" tableType="queryTable" totalsRowShown="0">
  <autoFilter ref="A1:P181" xr:uid="{456D16AD-48C1-4058-8BAB-4FE598E945F7}"/>
  <tableColumns count="16">
    <tableColumn id="1" xr3:uid="{39F9306F-2DF2-49C0-AA7B-0B3918CE5256}" uniqueName="1" name="Order_ID" queryTableFieldId="1" dataDxfId="29"/>
    <tableColumn id="2" xr3:uid="{AEF1447E-C19D-4388-AA3D-ED27528A5D1F}" uniqueName="2" name="Order_Date" queryTableFieldId="2" dataDxfId="28"/>
    <tableColumn id="3" xr3:uid="{01BE932D-98A8-44DE-BF07-32079D3F6B59}" uniqueName="3" name="Delivery_Date" queryTableFieldId="3" dataDxfId="27"/>
    <tableColumn id="4" xr3:uid="{930DE42F-210D-4362-90EF-2E921AC09E73}" uniqueName="4" name="Region" queryTableFieldId="4" dataDxfId="26"/>
    <tableColumn id="5" xr3:uid="{999F7A31-4E3C-4BEF-A2E1-9CE7CD959ED5}" uniqueName="5" name="Salesperson" queryTableFieldId="5" dataDxfId="25"/>
    <tableColumn id="6" xr3:uid="{974E2D9E-D55B-4B9C-BF4C-FA0545E91EB7}" uniqueName="6" name="Department" queryTableFieldId="6" dataDxfId="24"/>
    <tableColumn id="7" xr3:uid="{94B35995-B16E-4A1E-8B83-5E5C657C78CB}" uniqueName="7" name="Product" queryTableFieldId="7" dataDxfId="23"/>
    <tableColumn id="8" xr3:uid="{6967BE52-578B-4EB6-849F-26266CE65A7C}" uniqueName="8" name="Customer_Name" queryTableFieldId="8" dataDxfId="22"/>
    <tableColumn id="9" xr3:uid="{F43DB485-CF14-4B0A-AC08-40ECB28C62B0}" uniqueName="9" name="City" queryTableFieldId="9" dataDxfId="21"/>
    <tableColumn id="10" xr3:uid="{765F0BDE-21BC-4F21-95E4-529E5E9710D0}" uniqueName="10" name="Email" queryTableFieldId="10" dataDxfId="20"/>
    <tableColumn id="11" xr3:uid="{1FD54701-196A-43D6-8D15-AF4DFA7536B0}" uniqueName="11" name="Customer_Type" queryTableFieldId="11" dataDxfId="19"/>
    <tableColumn id="12" xr3:uid="{10C71E6C-A824-4ED4-A282-658705E6FBD1}" uniqueName="12" name="Units" queryTableFieldId="12"/>
    <tableColumn id="13" xr3:uid="{75DC4074-AF87-4291-8014-5F3CCE9F9CB7}" uniqueName="13" name="Unit_Price" queryTableFieldId="13"/>
    <tableColumn id="14" xr3:uid="{26F96C5C-0127-41F6-9A9F-1E0CF99E6655}" uniqueName="14" name="Payment_Mode" queryTableFieldId="14" dataDxfId="18"/>
    <tableColumn id="15" xr3:uid="{CD619E4A-2200-4778-8037-1FA12A43940F}" uniqueName="15" name="Order_Status" queryTableFieldId="15" dataDxfId="17"/>
    <tableColumn id="16" xr3:uid="{7501C34A-DC93-4FF7-B2DF-E4446C17E25F}" uniqueName="16" name="Total_Sales" queryTableFieldId="1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4640560-72E2-4568-849A-F36F61456C6B}" name="Table4" displayName="Table4" ref="A1:L25" totalsRowShown="0" headerRowDxfId="16" dataDxfId="15">
  <autoFilter ref="A1:L25" xr:uid="{D848DEDC-51F1-4735-AE19-7CEDC4AEB6E6}"/>
  <tableColumns count="12">
    <tableColumn id="1" xr3:uid="{6D216479-3ADA-4156-9B30-7649D69C5FC9}" name="row"/>
    <tableColumn id="2" xr3:uid="{2364A537-1CD4-4178-A4B8-403A6A43D2FD}" name="order_id"/>
    <tableColumn id="3" xr3:uid="{E5BCD6B4-6700-4A58-8893-3A358D863551}" name="customer_name" dataDxfId="14"/>
    <tableColumn id="4" xr3:uid="{20377137-BCC9-495A-81CD-BB2E0379CEDF}" name="city" dataDxfId="13"/>
    <tableColumn id="5" xr3:uid="{62483AB5-9F0D-41EC-A3AE-CB7DE4BF8C37}" name="Email" dataCellStyle="Hyperlink"/>
    <tableColumn id="6" xr3:uid="{8E3BB087-AA13-4650-ABF4-48A7576C3AF2}" name="product" dataDxfId="12"/>
    <tableColumn id="7" xr3:uid="{566A092B-1129-41BF-A805-33106F9A222F}" name="units"/>
    <tableColumn id="8" xr3:uid="{92385AC2-6DFB-4AD3-A5C7-9FE349E50E9D}" name="clean_name" dataDxfId="11">
      <calculatedColumnFormula>TRIM(Table4[[#This Row],[customer_name]])</calculatedColumnFormula>
    </tableColumn>
    <tableColumn id="9" xr3:uid="{7E4D0D12-718B-4471-AF1C-17C713474507}" name="lower" dataDxfId="10">
      <calculatedColumnFormula>LOWER(Table4[[#This Row],[clean_name]])</calculatedColumnFormula>
    </tableColumn>
    <tableColumn id="10" xr3:uid="{924322B2-EAA5-4123-A1AE-508AEB2D0F94}" name="upper" dataDxfId="9">
      <calculatedColumnFormula>UPPER(Table4[[#This Row],[lower]])</calculatedColumnFormula>
    </tableColumn>
    <tableColumn id="11" xr3:uid="{D1D78366-FAC3-49DB-9852-57DE9C6A0CBF}" name="cleancity" dataDxfId="8">
      <calculatedColumnFormula>PROPER(TRIM(Table4[[#This Row],[city]]))</calculatedColumnFormula>
    </tableColumn>
    <tableColumn id="12" xr3:uid="{2B8AA299-012C-48CF-B7B4-BD9A210E7BBD}" name="clean_product" dataDxfId="7">
      <calculatedColumnFormula>TRIM(Table4[[#This Row],[product]])</calculatedColumnFormula>
    </tableColumn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A17692E-4549-473B-A551-4B07AE28DB3F}" name="Table3" displayName="Table3" ref="A4:K25" totalsRowShown="0" headerRowDxfId="40">
  <autoFilter ref="A4:K25" xr:uid="{4AACA918-5DD9-4B79-B1E9-D6268201FAF0}"/>
  <tableColumns count="11">
    <tableColumn id="1" xr3:uid="{715CE808-56B5-4BE4-8F3C-CD8F224FE361}" name="Order id"/>
    <tableColumn id="2" xr3:uid="{10653034-62E9-4116-BCBC-9822E9BBEEBB}" name="Order_date" dataDxfId="39"/>
    <tableColumn id="3" xr3:uid="{123731EA-353B-4B90-8A32-1A9C9E57ED4B}" name="Delivery_date"/>
    <tableColumn id="4" xr3:uid="{B28BCACE-F3C9-4189-89D3-0A3E784AD2F2}" name="Product" dataDxfId="38"/>
    <tableColumn id="11" xr3:uid="{DDA030F5-5973-4C93-AF9C-10A974EA21A1}" name="nstatus" dataDxfId="37"/>
    <tableColumn id="5" xr3:uid="{FC1DE897-3D85-4730-BE6E-A09B9C72AF7A}" name="current date" dataDxfId="36">
      <calculatedColumnFormula>TODAY()</calculatedColumnFormula>
    </tableColumn>
    <tableColumn id="6" xr3:uid="{3EE63ABA-0B1C-4FD4-8108-FA554C34FB29}" name="year" dataDxfId="35">
      <calculatedColumnFormula>YEAR(Table3[[#This Row],[Order_date]])</calculatedColumnFormula>
    </tableColumn>
    <tableColumn id="7" xr3:uid="{E5C7A201-DE9F-4388-8469-99D70363E2E2}" name="month" dataDxfId="34">
      <calculatedColumnFormula>MONTH(Table3[[#This Row],[Delivery_date]])</calculatedColumnFormula>
    </tableColumn>
    <tableColumn id="8" xr3:uid="{7946E12C-1929-4EF6-A8C5-612FAE1222C7}" name="day" dataDxfId="33">
      <calculatedColumnFormula>DAY(Table3[[#This Row],[Order_date]])</calculatedColumnFormula>
    </tableColumn>
    <tableColumn id="9" xr3:uid="{8F0084BE-CFAE-498D-BDF5-45E876E6D41D}" name="date diff" dataDxfId="32">
      <calculatedColumnFormula>Table3[[#This Row],[Delivery_date]]-Table3[[#This Row],[Order_date]]</calculatedColumnFormula>
    </tableColumn>
    <tableColumn id="10" xr3:uid="{23779BF6-049B-4C4C-9D10-1CFB7B93F881}" name="Column1" dataDxfId="31">
      <calculatedColumnFormula>IFERROR(Table3[[#This Row],[Delivery_date]]-Table3[[#This Row],[Order_date]],"not available")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karn@exp.com" TargetMode="External"/><Relationship Id="rId13" Type="http://schemas.openxmlformats.org/officeDocument/2006/relationships/hyperlink" Target="mailto:ishal@exp.com" TargetMode="External"/><Relationship Id="rId18" Type="http://schemas.openxmlformats.org/officeDocument/2006/relationships/hyperlink" Target="mailto:simrl@exp.com" TargetMode="External"/><Relationship Id="rId3" Type="http://schemas.openxmlformats.org/officeDocument/2006/relationships/hyperlink" Target="mailto:amit@exp.com" TargetMode="External"/><Relationship Id="rId21" Type="http://schemas.openxmlformats.org/officeDocument/2006/relationships/hyperlink" Target="mailto:mohit@exp.com" TargetMode="External"/><Relationship Id="rId7" Type="http://schemas.openxmlformats.org/officeDocument/2006/relationships/hyperlink" Target="mailto:anj@exp.com" TargetMode="External"/><Relationship Id="rId12" Type="http://schemas.openxmlformats.org/officeDocument/2006/relationships/hyperlink" Target="mailto:ravi@exp.com" TargetMode="External"/><Relationship Id="rId17" Type="http://schemas.openxmlformats.org/officeDocument/2006/relationships/hyperlink" Target="mailto:niyti@exp.com" TargetMode="External"/><Relationship Id="rId2" Type="http://schemas.openxmlformats.org/officeDocument/2006/relationships/hyperlink" Target="mailto:priya@exp.com" TargetMode="External"/><Relationship Id="rId16" Type="http://schemas.openxmlformats.org/officeDocument/2006/relationships/hyperlink" Target="mailto:devl@exp.com" TargetMode="External"/><Relationship Id="rId20" Type="http://schemas.openxmlformats.org/officeDocument/2006/relationships/hyperlink" Target="mailto:raj@exp.com" TargetMode="External"/><Relationship Id="rId1" Type="http://schemas.openxmlformats.org/officeDocument/2006/relationships/hyperlink" Target="mailto:rahul@exp.com" TargetMode="External"/><Relationship Id="rId6" Type="http://schemas.openxmlformats.org/officeDocument/2006/relationships/hyperlink" Target="mailto:viaksr@exp.com" TargetMode="External"/><Relationship Id="rId11" Type="http://schemas.openxmlformats.org/officeDocument/2006/relationships/hyperlink" Target="mailto:pool@exp.com" TargetMode="External"/><Relationship Id="rId5" Type="http://schemas.openxmlformats.org/officeDocument/2006/relationships/hyperlink" Target="mailto:sneha@exp.com" TargetMode="External"/><Relationship Id="rId15" Type="http://schemas.openxmlformats.org/officeDocument/2006/relationships/hyperlink" Target="mailto:kavl@exp.com" TargetMode="External"/><Relationship Id="rId23" Type="http://schemas.openxmlformats.org/officeDocument/2006/relationships/table" Target="../tables/table3.xml"/><Relationship Id="rId10" Type="http://schemas.openxmlformats.org/officeDocument/2006/relationships/hyperlink" Target="mailto:arjr@exp.com" TargetMode="External"/><Relationship Id="rId19" Type="http://schemas.openxmlformats.org/officeDocument/2006/relationships/hyperlink" Target="mailto:unknown@exp.com" TargetMode="External"/><Relationship Id="rId4" Type="http://schemas.openxmlformats.org/officeDocument/2006/relationships/hyperlink" Target="mailto:naha@exp.com" TargetMode="External"/><Relationship Id="rId9" Type="http://schemas.openxmlformats.org/officeDocument/2006/relationships/hyperlink" Target="mailto:mr@exp.com" TargetMode="External"/><Relationship Id="rId14" Type="http://schemas.openxmlformats.org/officeDocument/2006/relationships/hyperlink" Target="mailto:amanl@exp.com" TargetMode="External"/><Relationship Id="rId22" Type="http://schemas.openxmlformats.org/officeDocument/2006/relationships/hyperlink" Target="mailto:asha@exp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BB998-1FA3-41C4-8F74-E47234760484}">
  <dimension ref="A1:S100"/>
  <sheetViews>
    <sheetView workbookViewId="0">
      <pane ySplit="1" topLeftCell="A2" activePane="bottomLeft" state="frozen"/>
      <selection pane="bottomLeft" activeCell="D5" sqref="D5"/>
    </sheetView>
  </sheetViews>
  <sheetFormatPr defaultColWidth="14.44140625" defaultRowHeight="15" customHeight="1"/>
  <cols>
    <col min="1" max="1" width="10.44140625" customWidth="1"/>
    <col min="2" max="3" width="12" customWidth="1"/>
    <col min="4" max="4" width="13" customWidth="1"/>
    <col min="5" max="5" width="12" customWidth="1"/>
    <col min="6" max="6" width="13" customWidth="1"/>
    <col min="7" max="7" width="7.21875" customWidth="1"/>
    <col min="8" max="8" width="12" customWidth="1"/>
    <col min="9" max="9" width="16.109375" customWidth="1"/>
    <col min="10" max="10" width="16.44140625" customWidth="1"/>
    <col min="11" max="11" width="14" customWidth="1"/>
    <col min="17" max="17" width="23.109375" customWidth="1"/>
  </cols>
  <sheetData>
    <row r="1" spans="1:19" ht="14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ht="14.4">
      <c r="A2">
        <v>1001</v>
      </c>
      <c r="B2" s="3">
        <v>46106</v>
      </c>
      <c r="C2" t="s">
        <v>19</v>
      </c>
      <c r="D2" t="s">
        <v>20</v>
      </c>
      <c r="E2" t="s">
        <v>21</v>
      </c>
      <c r="F2" t="s">
        <v>22</v>
      </c>
      <c r="G2">
        <v>1</v>
      </c>
      <c r="H2">
        <v>55000</v>
      </c>
      <c r="I2" t="s">
        <v>23</v>
      </c>
      <c r="J2" t="s">
        <v>24</v>
      </c>
      <c r="K2" t="s">
        <v>25</v>
      </c>
      <c r="L2">
        <f t="shared" ref="L2:L51" si="0">G2*H2</f>
        <v>55000</v>
      </c>
    </row>
    <row r="3" spans="1:19" ht="14.4">
      <c r="A3">
        <v>1002</v>
      </c>
      <c r="B3" s="3">
        <v>46036</v>
      </c>
      <c r="C3" t="s">
        <v>26</v>
      </c>
      <c r="D3" t="s">
        <v>27</v>
      </c>
      <c r="E3" t="s">
        <v>28</v>
      </c>
      <c r="F3" t="s">
        <v>22</v>
      </c>
      <c r="G3">
        <v>14</v>
      </c>
      <c r="H3">
        <v>9000</v>
      </c>
      <c r="I3" t="s">
        <v>23</v>
      </c>
      <c r="J3" t="s">
        <v>29</v>
      </c>
      <c r="K3" t="s">
        <v>25</v>
      </c>
      <c r="L3">
        <f t="shared" si="0"/>
        <v>126000</v>
      </c>
      <c r="Q3" t="str">
        <f>IF(G3&gt;=10,"High","Low")</f>
        <v>High</v>
      </c>
      <c r="R3" t="str" cm="1">
        <f t="array" ref="R3">_xlfn.IFS(G3&gt;=10,"high",G3&gt;=7,"med",G3&lt;=5,"low")</f>
        <v>high</v>
      </c>
      <c r="S3">
        <f>SUMIF(C2:C6,"Pune",H2:H6)</f>
        <v>67000</v>
      </c>
    </row>
    <row r="4" spans="1:19" ht="14.4">
      <c r="A4">
        <v>1003</v>
      </c>
      <c r="B4" s="3">
        <v>46102</v>
      </c>
      <c r="C4" t="s">
        <v>30</v>
      </c>
      <c r="D4" t="s">
        <v>31</v>
      </c>
      <c r="E4" t="s">
        <v>21</v>
      </c>
      <c r="F4" t="s">
        <v>22</v>
      </c>
      <c r="G4">
        <v>18</v>
      </c>
      <c r="H4">
        <v>60000</v>
      </c>
      <c r="I4" t="s">
        <v>23</v>
      </c>
      <c r="J4" t="s">
        <v>32</v>
      </c>
      <c r="K4" t="s">
        <v>25</v>
      </c>
      <c r="L4">
        <f t="shared" si="0"/>
        <v>1080000</v>
      </c>
      <c r="P4">
        <f>SUM(G2:G51)</f>
        <v>478</v>
      </c>
      <c r="Q4" t="str">
        <f>IF(G5&lt;=8,"High","Low")</f>
        <v>High</v>
      </c>
    </row>
    <row r="5" spans="1:19" ht="14.4">
      <c r="A5">
        <v>1004</v>
      </c>
      <c r="B5" s="3">
        <v>46060</v>
      </c>
      <c r="C5" t="s">
        <v>33</v>
      </c>
      <c r="D5" t="s">
        <v>34</v>
      </c>
      <c r="E5" t="s">
        <v>21</v>
      </c>
      <c r="F5" t="s">
        <v>22</v>
      </c>
      <c r="G5">
        <v>6</v>
      </c>
      <c r="H5">
        <v>58000</v>
      </c>
      <c r="I5" t="s">
        <v>23</v>
      </c>
      <c r="J5" t="s">
        <v>29</v>
      </c>
      <c r="K5" t="s">
        <v>35</v>
      </c>
      <c r="L5">
        <f t="shared" si="0"/>
        <v>348000</v>
      </c>
      <c r="Q5" t="str">
        <f>IF(G7&lt;=10,"high","Low")</f>
        <v>Low</v>
      </c>
      <c r="S5">
        <f>SUMIF(C2:C51,"Pune",H2:H51)</f>
        <v>215800</v>
      </c>
    </row>
    <row r="6" spans="1:19" ht="14.4">
      <c r="A6">
        <v>1005</v>
      </c>
      <c r="B6" s="3">
        <v>46038</v>
      </c>
      <c r="C6" t="s">
        <v>26</v>
      </c>
      <c r="D6" t="s">
        <v>34</v>
      </c>
      <c r="E6" t="s">
        <v>21</v>
      </c>
      <c r="F6" t="s">
        <v>22</v>
      </c>
      <c r="G6">
        <v>13</v>
      </c>
      <c r="H6">
        <v>58000</v>
      </c>
      <c r="I6" t="s">
        <v>36</v>
      </c>
      <c r="J6" t="s">
        <v>24</v>
      </c>
      <c r="K6" t="s">
        <v>37</v>
      </c>
      <c r="L6">
        <f t="shared" si="0"/>
        <v>754000</v>
      </c>
      <c r="P6" t="s">
        <v>38</v>
      </c>
    </row>
    <row r="7" spans="1:19" ht="14.4">
      <c r="A7">
        <v>1006</v>
      </c>
      <c r="B7" s="3">
        <v>46093</v>
      </c>
      <c r="C7" t="s">
        <v>26</v>
      </c>
      <c r="D7" t="s">
        <v>31</v>
      </c>
      <c r="E7" t="s">
        <v>21</v>
      </c>
      <c r="F7" t="s">
        <v>22</v>
      </c>
      <c r="G7">
        <v>13</v>
      </c>
      <c r="H7">
        <v>58000</v>
      </c>
      <c r="I7" t="s">
        <v>36</v>
      </c>
      <c r="J7" t="s">
        <v>29</v>
      </c>
      <c r="K7" t="s">
        <v>35</v>
      </c>
      <c r="L7">
        <f t="shared" si="0"/>
        <v>754000</v>
      </c>
      <c r="P7">
        <f>AVERAGE(G2:G51)</f>
        <v>9.56</v>
      </c>
      <c r="Q7" t="str" cm="1">
        <f t="array" ref="Q7">_xlfn.IFS(H4&gt;=55000,"High",H4&gt;=50000,"Medium",H4&lt;=45000,"Low")</f>
        <v>High</v>
      </c>
      <c r="S7">
        <f>SUMIF(D2:D51,"Priya",H2:H51)</f>
        <v>94500</v>
      </c>
    </row>
    <row r="8" spans="1:19" ht="14.4">
      <c r="A8">
        <v>1007</v>
      </c>
      <c r="B8" s="3">
        <v>46030</v>
      </c>
      <c r="C8" t="s">
        <v>19</v>
      </c>
      <c r="D8" t="s">
        <v>27</v>
      </c>
      <c r="E8" t="s">
        <v>39</v>
      </c>
      <c r="F8" t="s">
        <v>40</v>
      </c>
      <c r="G8">
        <v>8</v>
      </c>
      <c r="H8">
        <v>1800</v>
      </c>
      <c r="I8" t="s">
        <v>23</v>
      </c>
      <c r="J8" t="s">
        <v>32</v>
      </c>
      <c r="K8" t="s">
        <v>35</v>
      </c>
      <c r="L8">
        <f t="shared" si="0"/>
        <v>14400</v>
      </c>
      <c r="Q8" t="str" cm="1">
        <f t="array" ref="Q8">_xlfn.IFS(H8&gt;=2000,"high",H8&gt;=1500,"medium",H8&lt;=1200,"low")</f>
        <v>medium</v>
      </c>
      <c r="R8" t="str" cm="1">
        <f t="array" ref="R8">_xlfn.IFS(H3&gt;12000,"h",H3&gt;10000,"M",H3&lt;=9500,"c")</f>
        <v>c</v>
      </c>
      <c r="S8">
        <f>SUMIF(E2:E51,"Laptop",H2:H51)</f>
        <v>691000</v>
      </c>
    </row>
    <row r="9" spans="1:19" ht="14.4">
      <c r="A9">
        <v>1008</v>
      </c>
      <c r="B9" s="3">
        <v>46083</v>
      </c>
      <c r="C9" t="s">
        <v>30</v>
      </c>
      <c r="D9" t="s">
        <v>34</v>
      </c>
      <c r="E9" t="s">
        <v>39</v>
      </c>
      <c r="F9" t="s">
        <v>40</v>
      </c>
      <c r="G9">
        <v>12</v>
      </c>
      <c r="H9">
        <v>2200</v>
      </c>
      <c r="I9" t="s">
        <v>23</v>
      </c>
      <c r="J9" t="s">
        <v>41</v>
      </c>
      <c r="K9" t="s">
        <v>35</v>
      </c>
      <c r="L9">
        <f t="shared" si="0"/>
        <v>26400</v>
      </c>
      <c r="P9" t="s">
        <v>42</v>
      </c>
      <c r="S9">
        <f>SUMIF(I2:I51,"corporate",H2:H51)</f>
        <v>341100</v>
      </c>
    </row>
    <row r="10" spans="1:19" ht="14.4">
      <c r="A10">
        <v>1009</v>
      </c>
      <c r="B10" s="3">
        <v>46102</v>
      </c>
      <c r="C10" t="s">
        <v>43</v>
      </c>
      <c r="D10" t="s">
        <v>20</v>
      </c>
      <c r="E10" t="s">
        <v>39</v>
      </c>
      <c r="F10" t="s">
        <v>40</v>
      </c>
      <c r="G10">
        <v>6</v>
      </c>
      <c r="H10">
        <v>1800</v>
      </c>
      <c r="I10" t="s">
        <v>36</v>
      </c>
      <c r="J10" t="s">
        <v>32</v>
      </c>
      <c r="K10" t="s">
        <v>35</v>
      </c>
      <c r="L10">
        <f t="shared" si="0"/>
        <v>10800</v>
      </c>
      <c r="P10">
        <f>COUNT(G2:G51)</f>
        <v>50</v>
      </c>
      <c r="S10">
        <f>SUMIF(K2:K51,"completed",H2:H51)</f>
        <v>335350</v>
      </c>
    </row>
    <row r="11" spans="1:19" ht="14.4">
      <c r="A11">
        <v>1010</v>
      </c>
      <c r="B11" s="3">
        <v>46106</v>
      </c>
      <c r="C11" t="s">
        <v>30</v>
      </c>
      <c r="D11" t="s">
        <v>34</v>
      </c>
      <c r="E11" t="s">
        <v>39</v>
      </c>
      <c r="F11" t="s">
        <v>40</v>
      </c>
      <c r="G11">
        <v>18</v>
      </c>
      <c r="H11">
        <v>1500</v>
      </c>
      <c r="I11" t="s">
        <v>23</v>
      </c>
      <c r="J11" t="s">
        <v>24</v>
      </c>
      <c r="K11" t="s">
        <v>35</v>
      </c>
      <c r="L11">
        <f t="shared" si="0"/>
        <v>27000</v>
      </c>
      <c r="Q11" t="str">
        <f>IF(G4&gt;=10,"high","low")</f>
        <v>high</v>
      </c>
    </row>
    <row r="12" spans="1:19" ht="14.4">
      <c r="A12">
        <v>1011</v>
      </c>
      <c r="B12" s="3">
        <v>46076</v>
      </c>
      <c r="C12" t="s">
        <v>30</v>
      </c>
      <c r="D12" t="s">
        <v>31</v>
      </c>
      <c r="E12" t="s">
        <v>44</v>
      </c>
      <c r="F12" t="s">
        <v>40</v>
      </c>
      <c r="G12">
        <v>3</v>
      </c>
      <c r="H12">
        <v>1600</v>
      </c>
      <c r="I12" t="s">
        <v>23</v>
      </c>
      <c r="J12" t="s">
        <v>32</v>
      </c>
      <c r="K12" t="s">
        <v>37</v>
      </c>
      <c r="L12">
        <f t="shared" si="0"/>
        <v>4800</v>
      </c>
      <c r="P12" t="s">
        <v>45</v>
      </c>
      <c r="Q12" t="str">
        <f>IF(G10&lt;=8,"High","low")</f>
        <v>High</v>
      </c>
      <c r="R12" t="str">
        <f>IF(G9&lt;=10,"h","l")</f>
        <v>l</v>
      </c>
      <c r="S12" s="4" t="s">
        <v>46</v>
      </c>
    </row>
    <row r="13" spans="1:19" ht="14.4">
      <c r="A13">
        <v>1012</v>
      </c>
      <c r="B13" s="3">
        <v>46107</v>
      </c>
      <c r="C13" t="s">
        <v>19</v>
      </c>
      <c r="D13" t="s">
        <v>20</v>
      </c>
      <c r="E13" t="s">
        <v>47</v>
      </c>
      <c r="F13" t="s">
        <v>40</v>
      </c>
      <c r="G13">
        <v>5</v>
      </c>
      <c r="H13">
        <v>750</v>
      </c>
      <c r="I13" t="s">
        <v>36</v>
      </c>
      <c r="J13" t="s">
        <v>32</v>
      </c>
      <c r="K13" t="s">
        <v>25</v>
      </c>
      <c r="L13">
        <f t="shared" si="0"/>
        <v>3750</v>
      </c>
      <c r="Q13" t="str">
        <f>IF(G12&lt;=4,"")</f>
        <v/>
      </c>
      <c r="S13">
        <f>SUMIF(C2:C51,"Pune",L2:L51)</f>
        <v>2462200</v>
      </c>
    </row>
    <row r="14" spans="1:19" ht="14.4">
      <c r="A14">
        <v>1013</v>
      </c>
      <c r="B14" s="3">
        <v>46076</v>
      </c>
      <c r="C14" t="s">
        <v>30</v>
      </c>
      <c r="D14" t="s">
        <v>31</v>
      </c>
      <c r="E14" t="s">
        <v>44</v>
      </c>
      <c r="F14" t="s">
        <v>40</v>
      </c>
      <c r="G14">
        <v>8</v>
      </c>
      <c r="H14">
        <v>1800</v>
      </c>
      <c r="I14" t="s">
        <v>23</v>
      </c>
      <c r="J14" t="s">
        <v>24</v>
      </c>
      <c r="K14" t="s">
        <v>35</v>
      </c>
      <c r="L14">
        <f t="shared" si="0"/>
        <v>14400</v>
      </c>
      <c r="Q14" t="s">
        <v>48</v>
      </c>
      <c r="R14" t="str">
        <f>IF(G10&lt;=10,"h","l")</f>
        <v>h</v>
      </c>
      <c r="S14">
        <f>SUMIF(D2:D51,"Priya",L2:L51)</f>
        <v>619350</v>
      </c>
    </row>
    <row r="15" spans="1:19" ht="14.4">
      <c r="A15">
        <v>1014</v>
      </c>
      <c r="B15" s="3">
        <v>46044</v>
      </c>
      <c r="C15" t="s">
        <v>33</v>
      </c>
      <c r="D15" t="s">
        <v>31</v>
      </c>
      <c r="E15" t="s">
        <v>39</v>
      </c>
      <c r="F15" t="s">
        <v>40</v>
      </c>
      <c r="G15">
        <v>6</v>
      </c>
      <c r="H15">
        <v>1500</v>
      </c>
      <c r="I15" t="s">
        <v>36</v>
      </c>
      <c r="J15" t="s">
        <v>32</v>
      </c>
      <c r="K15" t="s">
        <v>25</v>
      </c>
      <c r="L15">
        <f t="shared" si="0"/>
        <v>9000</v>
      </c>
      <c r="P15" t="s">
        <v>49</v>
      </c>
      <c r="Q15" t="str">
        <f>IF(G12&lt;4,"h","l")</f>
        <v>h</v>
      </c>
      <c r="S15">
        <f>SUMIF(E2:E51,"Laptop",L2:L51)</f>
        <v>5918000</v>
      </c>
    </row>
    <row r="16" spans="1:19" ht="14.4">
      <c r="A16">
        <v>1015</v>
      </c>
      <c r="B16" s="3">
        <v>46084</v>
      </c>
      <c r="C16" t="s">
        <v>43</v>
      </c>
      <c r="D16" t="s">
        <v>27</v>
      </c>
      <c r="E16" t="s">
        <v>28</v>
      </c>
      <c r="F16" t="s">
        <v>22</v>
      </c>
      <c r="G16">
        <v>9</v>
      </c>
      <c r="H16">
        <v>9000</v>
      </c>
      <c r="I16" t="s">
        <v>36</v>
      </c>
      <c r="J16" t="s">
        <v>41</v>
      </c>
      <c r="K16" t="s">
        <v>35</v>
      </c>
      <c r="L16">
        <f t="shared" si="0"/>
        <v>81000</v>
      </c>
      <c r="P16">
        <f>MIN(H2:H22)</f>
        <v>750</v>
      </c>
      <c r="Q16" t="str">
        <f>Q15</f>
        <v>h</v>
      </c>
      <c r="S16">
        <f>SUMIF(I2:I51,"corporate",L2:L51)</f>
        <v>3144300</v>
      </c>
    </row>
    <row r="17" spans="1:19" ht="14.4">
      <c r="A17">
        <v>1016</v>
      </c>
      <c r="B17" s="3">
        <v>46062</v>
      </c>
      <c r="C17" t="s">
        <v>33</v>
      </c>
      <c r="D17" t="s">
        <v>27</v>
      </c>
      <c r="E17" t="s">
        <v>47</v>
      </c>
      <c r="F17" t="s">
        <v>40</v>
      </c>
      <c r="G17">
        <v>6</v>
      </c>
      <c r="H17">
        <v>800</v>
      </c>
      <c r="I17" t="s">
        <v>23</v>
      </c>
      <c r="J17" t="s">
        <v>24</v>
      </c>
      <c r="K17" t="s">
        <v>35</v>
      </c>
      <c r="L17">
        <f t="shared" si="0"/>
        <v>4800</v>
      </c>
      <c r="Q17" t="str">
        <f t="shared" ref="Q17:Q28" si="1">IF(G14&lt;4,"h","l")</f>
        <v>l</v>
      </c>
      <c r="R17" t="str">
        <f>IF(G11&lt;=20,"h","l")</f>
        <v>h</v>
      </c>
      <c r="S17">
        <f>SUMIF(K2:K51,"Completed",L2:L51)</f>
        <v>3223150</v>
      </c>
    </row>
    <row r="18" spans="1:19" ht="14.4">
      <c r="A18">
        <v>1017</v>
      </c>
      <c r="B18" s="3">
        <v>46106</v>
      </c>
      <c r="C18" t="s">
        <v>30</v>
      </c>
      <c r="D18" t="s">
        <v>20</v>
      </c>
      <c r="E18" t="s">
        <v>28</v>
      </c>
      <c r="F18" t="s">
        <v>22</v>
      </c>
      <c r="G18">
        <v>20</v>
      </c>
      <c r="H18">
        <v>12000</v>
      </c>
      <c r="I18" t="s">
        <v>23</v>
      </c>
      <c r="J18" t="s">
        <v>24</v>
      </c>
      <c r="K18" t="s">
        <v>25</v>
      </c>
      <c r="L18">
        <f t="shared" si="0"/>
        <v>240000</v>
      </c>
      <c r="Q18" t="str">
        <f t="shared" si="1"/>
        <v>l</v>
      </c>
    </row>
    <row r="19" spans="1:19" ht="14.4">
      <c r="A19">
        <v>1018</v>
      </c>
      <c r="B19" s="3">
        <v>46066</v>
      </c>
      <c r="C19" t="s">
        <v>26</v>
      </c>
      <c r="D19" t="s">
        <v>34</v>
      </c>
      <c r="E19" t="s">
        <v>47</v>
      </c>
      <c r="F19" t="s">
        <v>40</v>
      </c>
      <c r="G19">
        <v>1</v>
      </c>
      <c r="H19">
        <v>800</v>
      </c>
      <c r="I19" t="s">
        <v>23</v>
      </c>
      <c r="J19" t="s">
        <v>24</v>
      </c>
      <c r="K19" t="s">
        <v>35</v>
      </c>
      <c r="L19">
        <f t="shared" si="0"/>
        <v>800</v>
      </c>
      <c r="P19" t="s">
        <v>50</v>
      </c>
      <c r="Q19" t="str">
        <f t="shared" si="1"/>
        <v>l</v>
      </c>
      <c r="S19" s="4" t="s">
        <v>51</v>
      </c>
    </row>
    <row r="20" spans="1:19" ht="14.4">
      <c r="A20">
        <v>1019</v>
      </c>
      <c r="B20" s="3">
        <v>46097</v>
      </c>
      <c r="C20" t="s">
        <v>33</v>
      </c>
      <c r="D20" t="s">
        <v>27</v>
      </c>
      <c r="E20" t="s">
        <v>21</v>
      </c>
      <c r="F20" t="s">
        <v>22</v>
      </c>
      <c r="G20">
        <v>3</v>
      </c>
      <c r="H20">
        <v>62000</v>
      </c>
      <c r="I20" t="s">
        <v>23</v>
      </c>
      <c r="J20" t="s">
        <v>29</v>
      </c>
      <c r="K20" t="s">
        <v>37</v>
      </c>
      <c r="L20">
        <f t="shared" si="0"/>
        <v>186000</v>
      </c>
      <c r="P20">
        <f>MAX(H2:H22)</f>
        <v>62000</v>
      </c>
      <c r="Q20" t="str">
        <f t="shared" si="1"/>
        <v>l</v>
      </c>
      <c r="R20" t="str">
        <f>IF(G11&gt;=15,"bulk","regular")</f>
        <v>bulk</v>
      </c>
      <c r="S20">
        <f>SUMIFS(L2:L51,C2:C51,"Pune",I2:I51,"Corporate")</f>
        <v>1559600</v>
      </c>
    </row>
    <row r="21" spans="1:19" ht="15.75" customHeight="1">
      <c r="A21">
        <v>1020</v>
      </c>
      <c r="B21" s="3">
        <v>46095</v>
      </c>
      <c r="C21" t="s">
        <v>43</v>
      </c>
      <c r="D21" t="s">
        <v>31</v>
      </c>
      <c r="E21" t="s">
        <v>52</v>
      </c>
      <c r="F21" t="s">
        <v>22</v>
      </c>
      <c r="G21">
        <v>9</v>
      </c>
      <c r="H21">
        <v>12500</v>
      </c>
      <c r="I21" t="s">
        <v>23</v>
      </c>
      <c r="J21" t="s">
        <v>29</v>
      </c>
      <c r="K21" t="s">
        <v>35</v>
      </c>
      <c r="L21">
        <f t="shared" si="0"/>
        <v>112500</v>
      </c>
      <c r="Q21" t="str">
        <f t="shared" si="1"/>
        <v>l</v>
      </c>
      <c r="R21" t="str">
        <f>IF(G12&gt;20,"v high","normal")</f>
        <v>normal</v>
      </c>
      <c r="S21">
        <f>SUMIFS(L2:L51,C2:C51,"Mumbai",K2:K51,"completed")</f>
        <v>294700</v>
      </c>
    </row>
    <row r="22" spans="1:19" ht="15.75" customHeight="1">
      <c r="A22">
        <v>1021</v>
      </c>
      <c r="B22" s="3">
        <v>46076</v>
      </c>
      <c r="C22" t="s">
        <v>33</v>
      </c>
      <c r="D22" t="s">
        <v>31</v>
      </c>
      <c r="E22" t="s">
        <v>39</v>
      </c>
      <c r="F22" t="s">
        <v>40</v>
      </c>
      <c r="G22">
        <v>12</v>
      </c>
      <c r="H22">
        <v>2500</v>
      </c>
      <c r="I22" t="s">
        <v>23</v>
      </c>
      <c r="J22" t="s">
        <v>29</v>
      </c>
      <c r="K22" t="s">
        <v>35</v>
      </c>
      <c r="L22">
        <f t="shared" si="0"/>
        <v>30000</v>
      </c>
      <c r="P22" t="s">
        <v>53</v>
      </c>
      <c r="Q22" t="str">
        <f t="shared" si="1"/>
        <v>h</v>
      </c>
      <c r="S22">
        <f>SUMIFS(L2:L51,E2:E51,"laptop",I2:I51,"Retail")</f>
        <v>3209000</v>
      </c>
    </row>
    <row r="23" spans="1:19" ht="15.75" customHeight="1">
      <c r="A23">
        <v>1022</v>
      </c>
      <c r="B23" s="3">
        <v>46033</v>
      </c>
      <c r="C23" t="s">
        <v>43</v>
      </c>
      <c r="D23" t="s">
        <v>31</v>
      </c>
      <c r="E23" t="s">
        <v>44</v>
      </c>
      <c r="F23" t="s">
        <v>40</v>
      </c>
      <c r="G23">
        <v>1</v>
      </c>
      <c r="H23">
        <v>1500</v>
      </c>
      <c r="I23" t="s">
        <v>23</v>
      </c>
      <c r="J23" t="s">
        <v>24</v>
      </c>
      <c r="K23" t="s">
        <v>35</v>
      </c>
      <c r="L23">
        <f t="shared" si="0"/>
        <v>1500</v>
      </c>
      <c r="P23">
        <f>SUM(G5:G51)</f>
        <v>445</v>
      </c>
      <c r="Q23" t="str">
        <f t="shared" si="1"/>
        <v>h</v>
      </c>
      <c r="S23">
        <f>SUMIFS(L2:L51,C2:C51,"Nashik",J2:J51,"Upi")</f>
        <v>55000</v>
      </c>
    </row>
    <row r="24" spans="1:19" ht="15.75" customHeight="1">
      <c r="A24">
        <v>1023</v>
      </c>
      <c r="B24" s="3">
        <v>46105</v>
      </c>
      <c r="C24" t="s">
        <v>26</v>
      </c>
      <c r="D24" t="s">
        <v>27</v>
      </c>
      <c r="E24" t="s">
        <v>21</v>
      </c>
      <c r="F24" t="s">
        <v>22</v>
      </c>
      <c r="G24">
        <v>8</v>
      </c>
      <c r="H24">
        <v>58000</v>
      </c>
      <c r="I24" t="s">
        <v>23</v>
      </c>
      <c r="J24" t="s">
        <v>29</v>
      </c>
      <c r="K24" t="s">
        <v>35</v>
      </c>
      <c r="L24">
        <f t="shared" si="0"/>
        <v>464000</v>
      </c>
      <c r="Q24" t="str">
        <f t="shared" si="1"/>
        <v>l</v>
      </c>
      <c r="S24">
        <f>SUMIFS(L2:L51,C2:C51,"Nagpur",K2:K51,"pending")</f>
        <v>373600</v>
      </c>
    </row>
    <row r="25" spans="1:19" ht="15.75" customHeight="1">
      <c r="A25">
        <v>1024</v>
      </c>
      <c r="B25" s="3">
        <v>46110</v>
      </c>
      <c r="C25" t="s">
        <v>43</v>
      </c>
      <c r="D25" t="s">
        <v>20</v>
      </c>
      <c r="E25" t="s">
        <v>47</v>
      </c>
      <c r="F25" t="s">
        <v>40</v>
      </c>
      <c r="G25">
        <v>7</v>
      </c>
      <c r="H25">
        <v>1000</v>
      </c>
      <c r="I25" t="s">
        <v>36</v>
      </c>
      <c r="J25" t="s">
        <v>29</v>
      </c>
      <c r="K25" t="s">
        <v>37</v>
      </c>
      <c r="L25">
        <f t="shared" si="0"/>
        <v>7000</v>
      </c>
      <c r="P25" t="s">
        <v>50</v>
      </c>
      <c r="Q25" t="str">
        <f t="shared" si="1"/>
        <v>l</v>
      </c>
      <c r="R25" t="str">
        <f>IF(K9 = "completed","closed","open")</f>
        <v>closed</v>
      </c>
      <c r="S25">
        <f>SUMIFS(L2:L51,C2:C51,"Nagpur",K2:K51,"pending")</f>
        <v>373600</v>
      </c>
    </row>
    <row r="26" spans="1:19" ht="15.75" customHeight="1">
      <c r="A26">
        <v>1025</v>
      </c>
      <c r="B26" s="3">
        <v>46077</v>
      </c>
      <c r="C26" t="s">
        <v>26</v>
      </c>
      <c r="D26" t="s">
        <v>54</v>
      </c>
      <c r="E26" t="s">
        <v>52</v>
      </c>
      <c r="F26" t="s">
        <v>22</v>
      </c>
      <c r="G26">
        <v>4</v>
      </c>
      <c r="H26">
        <v>12000</v>
      </c>
      <c r="I26" t="s">
        <v>36</v>
      </c>
      <c r="J26" t="s">
        <v>32</v>
      </c>
      <c r="K26" t="s">
        <v>37</v>
      </c>
      <c r="L26">
        <f t="shared" si="0"/>
        <v>48000</v>
      </c>
      <c r="P26">
        <f>MAX(G3:G51)</f>
        <v>20</v>
      </c>
      <c r="Q26" t="str">
        <f t="shared" si="1"/>
        <v>h</v>
      </c>
    </row>
    <row r="27" spans="1:19" ht="15.75" customHeight="1">
      <c r="A27">
        <v>1026</v>
      </c>
      <c r="B27" s="3">
        <v>46031</v>
      </c>
      <c r="C27" t="s">
        <v>26</v>
      </c>
      <c r="D27" t="s">
        <v>54</v>
      </c>
      <c r="E27" t="s">
        <v>39</v>
      </c>
      <c r="F27" t="s">
        <v>40</v>
      </c>
      <c r="G27">
        <v>4</v>
      </c>
      <c r="H27">
        <v>2200</v>
      </c>
      <c r="I27" t="s">
        <v>23</v>
      </c>
      <c r="J27" t="s">
        <v>29</v>
      </c>
      <c r="K27" t="s">
        <v>35</v>
      </c>
      <c r="L27">
        <f t="shared" si="0"/>
        <v>8800</v>
      </c>
      <c r="Q27" t="str">
        <f t="shared" si="1"/>
        <v>l</v>
      </c>
      <c r="R27" t="str">
        <f>IF(AND(G11&gt;=10, I11 ="Corporate"),"priority","normal")</f>
        <v>normal</v>
      </c>
    </row>
    <row r="28" spans="1:19" ht="15.75" customHeight="1">
      <c r="A28">
        <v>1027</v>
      </c>
      <c r="B28" s="3">
        <v>46049</v>
      </c>
      <c r="C28" t="s">
        <v>30</v>
      </c>
      <c r="D28" t="s">
        <v>54</v>
      </c>
      <c r="E28" t="s">
        <v>28</v>
      </c>
      <c r="F28" t="s">
        <v>22</v>
      </c>
      <c r="G28">
        <v>15</v>
      </c>
      <c r="H28">
        <v>10500</v>
      </c>
      <c r="I28" t="s">
        <v>36</v>
      </c>
      <c r="J28" t="s">
        <v>32</v>
      </c>
      <c r="K28" t="s">
        <v>35</v>
      </c>
      <c r="L28">
        <f t="shared" si="0"/>
        <v>157500</v>
      </c>
      <c r="P28" t="s">
        <v>49</v>
      </c>
      <c r="Q28" t="str">
        <f t="shared" si="1"/>
        <v>l</v>
      </c>
      <c r="S28" s="4" t="s">
        <v>55</v>
      </c>
    </row>
    <row r="29" spans="1:19" ht="15.75" customHeight="1">
      <c r="A29">
        <v>1028</v>
      </c>
      <c r="B29" s="3">
        <v>46034</v>
      </c>
      <c r="C29" t="s">
        <v>26</v>
      </c>
      <c r="D29" t="s">
        <v>27</v>
      </c>
      <c r="E29" t="s">
        <v>47</v>
      </c>
      <c r="F29" t="s">
        <v>40</v>
      </c>
      <c r="G29">
        <v>18</v>
      </c>
      <c r="H29">
        <v>1000</v>
      </c>
      <c r="I29" t="s">
        <v>23</v>
      </c>
      <c r="J29" t="s">
        <v>24</v>
      </c>
      <c r="K29" t="s">
        <v>35</v>
      </c>
      <c r="L29">
        <f t="shared" si="0"/>
        <v>18000</v>
      </c>
      <c r="P29">
        <f>MIN(G14:G51)</f>
        <v>1</v>
      </c>
      <c r="S29">
        <f>COUNTIF(C2:C51,"Pune")</f>
        <v>10</v>
      </c>
    </row>
    <row r="30" spans="1:19" ht="15.75" customHeight="1">
      <c r="A30">
        <v>1029</v>
      </c>
      <c r="B30" s="3">
        <v>46046</v>
      </c>
      <c r="C30" t="s">
        <v>33</v>
      </c>
      <c r="D30" t="s">
        <v>20</v>
      </c>
      <c r="E30" t="s">
        <v>47</v>
      </c>
      <c r="F30" t="s">
        <v>40</v>
      </c>
      <c r="G30">
        <v>16</v>
      </c>
      <c r="H30">
        <v>850</v>
      </c>
      <c r="I30" t="s">
        <v>23</v>
      </c>
      <c r="J30" t="s">
        <v>29</v>
      </c>
      <c r="K30" t="s">
        <v>37</v>
      </c>
      <c r="L30">
        <f t="shared" si="0"/>
        <v>13600</v>
      </c>
      <c r="R30" t="str">
        <f>IF(AND(G14&gt;=10, I14 ="Corporate"),"priority","normal")</f>
        <v>normal</v>
      </c>
      <c r="S30">
        <f>COUNTIF(I2:I51,"corporate")</f>
        <v>19</v>
      </c>
    </row>
    <row r="31" spans="1:19" ht="15.75" customHeight="1">
      <c r="A31">
        <v>1030</v>
      </c>
      <c r="B31" s="3">
        <v>46025</v>
      </c>
      <c r="C31" t="s">
        <v>33</v>
      </c>
      <c r="D31" t="s">
        <v>34</v>
      </c>
      <c r="E31" t="s">
        <v>47</v>
      </c>
      <c r="F31" t="s">
        <v>40</v>
      </c>
      <c r="G31">
        <v>9</v>
      </c>
      <c r="H31">
        <v>850</v>
      </c>
      <c r="I31" t="s">
        <v>36</v>
      </c>
      <c r="J31" t="s">
        <v>29</v>
      </c>
      <c r="K31" t="s">
        <v>35</v>
      </c>
      <c r="L31">
        <f t="shared" si="0"/>
        <v>7650</v>
      </c>
      <c r="P31" t="s">
        <v>56</v>
      </c>
      <c r="S31">
        <f>COUNTIFS(C2:C51,"Mumbai",K2:K51,"completed")</f>
        <v>7</v>
      </c>
    </row>
    <row r="32" spans="1:19" ht="15.75" customHeight="1">
      <c r="A32">
        <v>1031</v>
      </c>
      <c r="B32" s="3">
        <v>46062</v>
      </c>
      <c r="C32" t="s">
        <v>43</v>
      </c>
      <c r="D32" t="s">
        <v>31</v>
      </c>
      <c r="E32" t="s">
        <v>52</v>
      </c>
      <c r="F32" t="s">
        <v>22</v>
      </c>
      <c r="G32">
        <v>2</v>
      </c>
      <c r="H32">
        <v>10000</v>
      </c>
      <c r="I32" t="s">
        <v>36</v>
      </c>
      <c r="J32" t="s">
        <v>24</v>
      </c>
      <c r="K32" t="s">
        <v>35</v>
      </c>
      <c r="L32">
        <f t="shared" si="0"/>
        <v>20000</v>
      </c>
      <c r="P32">
        <f>COUNT(G3:G51)</f>
        <v>49</v>
      </c>
      <c r="S32">
        <f>COUNTIFS(E2:E51,"Laptop",I2:I51,"retail")</f>
        <v>7</v>
      </c>
    </row>
    <row r="33" spans="1:19" ht="15.75" customHeight="1">
      <c r="A33">
        <v>1032</v>
      </c>
      <c r="B33" s="3">
        <v>46099</v>
      </c>
      <c r="C33" t="s">
        <v>43</v>
      </c>
      <c r="D33" t="s">
        <v>20</v>
      </c>
      <c r="E33" t="s">
        <v>47</v>
      </c>
      <c r="F33" t="s">
        <v>40</v>
      </c>
      <c r="G33">
        <v>17</v>
      </c>
      <c r="H33">
        <v>600</v>
      </c>
      <c r="I33" t="s">
        <v>23</v>
      </c>
      <c r="J33" t="s">
        <v>29</v>
      </c>
      <c r="K33" t="s">
        <v>35</v>
      </c>
      <c r="L33">
        <f t="shared" si="0"/>
        <v>10200</v>
      </c>
      <c r="S33">
        <f>COUNTIFS(C2:C51,"nashik",J2:J51,"Upi")</f>
        <v>1</v>
      </c>
    </row>
    <row r="34" spans="1:19" ht="15.75" customHeight="1">
      <c r="A34">
        <v>1033</v>
      </c>
      <c r="B34" s="3">
        <v>46101</v>
      </c>
      <c r="C34" t="s">
        <v>33</v>
      </c>
      <c r="D34" t="s">
        <v>27</v>
      </c>
      <c r="E34" t="s">
        <v>21</v>
      </c>
      <c r="F34" t="s">
        <v>22</v>
      </c>
      <c r="G34">
        <v>8</v>
      </c>
      <c r="H34">
        <v>62000</v>
      </c>
      <c r="I34" t="s">
        <v>23</v>
      </c>
      <c r="J34" t="s">
        <v>24</v>
      </c>
      <c r="K34" t="s">
        <v>25</v>
      </c>
      <c r="L34">
        <f t="shared" si="0"/>
        <v>496000</v>
      </c>
    </row>
    <row r="35" spans="1:19" ht="15.75" customHeight="1">
      <c r="A35">
        <v>1034</v>
      </c>
      <c r="B35" s="3">
        <v>46035</v>
      </c>
      <c r="C35" t="s">
        <v>43</v>
      </c>
      <c r="D35" t="s">
        <v>31</v>
      </c>
      <c r="E35" t="s">
        <v>47</v>
      </c>
      <c r="F35" t="s">
        <v>40</v>
      </c>
      <c r="G35">
        <v>19</v>
      </c>
      <c r="H35">
        <v>800</v>
      </c>
      <c r="I35" t="s">
        <v>36</v>
      </c>
      <c r="J35" t="s">
        <v>29</v>
      </c>
      <c r="K35" t="s">
        <v>35</v>
      </c>
      <c r="L35">
        <f t="shared" si="0"/>
        <v>15200</v>
      </c>
    </row>
    <row r="36" spans="1:19" ht="15.75" customHeight="1">
      <c r="A36">
        <v>1035</v>
      </c>
      <c r="B36" s="3">
        <v>46055</v>
      </c>
      <c r="C36" t="s">
        <v>30</v>
      </c>
      <c r="D36" t="s">
        <v>34</v>
      </c>
      <c r="E36" t="s">
        <v>44</v>
      </c>
      <c r="F36" t="s">
        <v>40</v>
      </c>
      <c r="G36">
        <v>13</v>
      </c>
      <c r="H36">
        <v>1800</v>
      </c>
      <c r="I36" t="s">
        <v>36</v>
      </c>
      <c r="J36" t="s">
        <v>24</v>
      </c>
      <c r="K36" t="s">
        <v>35</v>
      </c>
      <c r="L36">
        <f t="shared" si="0"/>
        <v>23400</v>
      </c>
      <c r="Q36" s="4" t="s">
        <v>57</v>
      </c>
      <c r="R36" s="4" t="s">
        <v>58</v>
      </c>
    </row>
    <row r="37" spans="1:19" ht="15.75" customHeight="1">
      <c r="A37">
        <v>1036</v>
      </c>
      <c r="B37" s="3">
        <v>46083</v>
      </c>
      <c r="C37" t="s">
        <v>26</v>
      </c>
      <c r="D37" t="s">
        <v>27</v>
      </c>
      <c r="E37" t="s">
        <v>28</v>
      </c>
      <c r="F37" t="s">
        <v>22</v>
      </c>
      <c r="G37">
        <v>19</v>
      </c>
      <c r="H37">
        <v>15000</v>
      </c>
      <c r="I37" t="s">
        <v>23</v>
      </c>
      <c r="J37" t="s">
        <v>41</v>
      </c>
      <c r="K37" t="s">
        <v>35</v>
      </c>
      <c r="L37">
        <f t="shared" si="0"/>
        <v>285000</v>
      </c>
      <c r="Q37" t="str">
        <f>_xlfn.XLOOKUP(1010,A2:A51,E2:E51)</f>
        <v>Headphones</v>
      </c>
      <c r="R37" t="str">
        <f>VLOOKUP(1010,A2:E51,5,FALSE)</f>
        <v>Headphones</v>
      </c>
    </row>
    <row r="38" spans="1:19" ht="15.75" customHeight="1">
      <c r="A38">
        <v>1037</v>
      </c>
      <c r="B38" s="3">
        <v>46069</v>
      </c>
      <c r="C38" t="s">
        <v>19</v>
      </c>
      <c r="D38" t="s">
        <v>34</v>
      </c>
      <c r="E38" t="s">
        <v>21</v>
      </c>
      <c r="F38" t="s">
        <v>22</v>
      </c>
      <c r="G38">
        <v>8</v>
      </c>
      <c r="H38">
        <v>55000</v>
      </c>
      <c r="I38" t="s">
        <v>36</v>
      </c>
      <c r="J38" t="s">
        <v>41</v>
      </c>
      <c r="K38" t="s">
        <v>25</v>
      </c>
      <c r="L38">
        <f t="shared" si="0"/>
        <v>440000</v>
      </c>
      <c r="Q38" t="str">
        <f>_xlfn.XLOOKUP(1010,A2:A51,E2:E51)</f>
        <v>Headphones</v>
      </c>
      <c r="R38" t="str">
        <f>VLOOKUP(1015,A2:E51,5,FALSE)</f>
        <v>Printer</v>
      </c>
    </row>
    <row r="39" spans="1:19" ht="15.75" customHeight="1">
      <c r="A39">
        <v>1038</v>
      </c>
      <c r="B39" s="3">
        <v>46108</v>
      </c>
      <c r="C39" t="s">
        <v>43</v>
      </c>
      <c r="D39" t="s">
        <v>34</v>
      </c>
      <c r="E39" t="s">
        <v>28</v>
      </c>
      <c r="F39" t="s">
        <v>22</v>
      </c>
      <c r="G39">
        <v>1</v>
      </c>
      <c r="H39">
        <v>9000</v>
      </c>
      <c r="I39" t="s">
        <v>23</v>
      </c>
      <c r="J39" t="s">
        <v>41</v>
      </c>
      <c r="K39" t="s">
        <v>35</v>
      </c>
      <c r="L39">
        <f t="shared" si="0"/>
        <v>9000</v>
      </c>
      <c r="Q39" t="str">
        <f>_xlfn.XLOOKUP(1020,A2:A51,D2:D51)</f>
        <v>Rohan</v>
      </c>
      <c r="R39" t="str">
        <f>VLOOKUP(1025,A2:D51,4,FALSE)</f>
        <v>Neha</v>
      </c>
    </row>
    <row r="40" spans="1:19" ht="15.75" customHeight="1">
      <c r="A40">
        <v>1039</v>
      </c>
      <c r="B40" s="3">
        <v>46038</v>
      </c>
      <c r="C40" t="s">
        <v>30</v>
      </c>
      <c r="D40" t="s">
        <v>34</v>
      </c>
      <c r="E40" t="s">
        <v>39</v>
      </c>
      <c r="F40" t="s">
        <v>40</v>
      </c>
      <c r="G40">
        <v>18</v>
      </c>
      <c r="H40">
        <v>2200</v>
      </c>
      <c r="I40" t="s">
        <v>23</v>
      </c>
      <c r="J40" t="s">
        <v>41</v>
      </c>
      <c r="K40" t="s">
        <v>35</v>
      </c>
      <c r="L40">
        <f t="shared" si="0"/>
        <v>39600</v>
      </c>
      <c r="Q40" t="str">
        <f>_xlfn.XLOOKUP(1030,A2:A51,C2:C51)</f>
        <v>Nagpur</v>
      </c>
      <c r="R40" t="str">
        <f>VLOOKUP(1035,A2:C51,3,FALSE)</f>
        <v>Mumbai</v>
      </c>
    </row>
    <row r="41" spans="1:19" ht="15.75" customHeight="1">
      <c r="A41">
        <v>1040</v>
      </c>
      <c r="B41" s="3">
        <v>46106</v>
      </c>
      <c r="C41" t="s">
        <v>33</v>
      </c>
      <c r="D41" t="s">
        <v>34</v>
      </c>
      <c r="E41" t="s">
        <v>44</v>
      </c>
      <c r="F41" t="s">
        <v>40</v>
      </c>
      <c r="G41">
        <v>17</v>
      </c>
      <c r="H41">
        <v>1200</v>
      </c>
      <c r="I41" t="s">
        <v>23</v>
      </c>
      <c r="J41" t="s">
        <v>32</v>
      </c>
      <c r="K41" t="s">
        <v>35</v>
      </c>
      <c r="L41">
        <f t="shared" si="0"/>
        <v>20400</v>
      </c>
      <c r="Q41">
        <f>_xlfn.XLOOKUP(1040,A2:A51,H2:H51)</f>
        <v>1200</v>
      </c>
      <c r="R41">
        <f>VLOOKUP(1045,A2:H51,8,FALSE)</f>
        <v>12000</v>
      </c>
    </row>
    <row r="42" spans="1:19" ht="15.75" customHeight="1">
      <c r="A42">
        <v>1041</v>
      </c>
      <c r="B42" s="3">
        <v>46030</v>
      </c>
      <c r="C42" t="s">
        <v>30</v>
      </c>
      <c r="D42" t="s">
        <v>34</v>
      </c>
      <c r="E42" t="s">
        <v>21</v>
      </c>
      <c r="F42" t="s">
        <v>22</v>
      </c>
      <c r="G42">
        <v>11</v>
      </c>
      <c r="H42">
        <v>55000</v>
      </c>
      <c r="I42" t="s">
        <v>36</v>
      </c>
      <c r="J42" t="s">
        <v>32</v>
      </c>
      <c r="K42" t="s">
        <v>25</v>
      </c>
      <c r="L42">
        <f t="shared" si="0"/>
        <v>605000</v>
      </c>
      <c r="Q42" t="str">
        <f>_xlfn.XLOOKUP(1050,A2:A51,K2:K51)</f>
        <v>Pending</v>
      </c>
      <c r="R42" t="str">
        <f>VLOOKUP(1050,A2:I51,9,FALSE)</f>
        <v>Corporate</v>
      </c>
    </row>
    <row r="43" spans="1:19" ht="15.75" customHeight="1">
      <c r="A43">
        <v>1042</v>
      </c>
      <c r="B43" s="3">
        <v>46026</v>
      </c>
      <c r="C43" t="s">
        <v>30</v>
      </c>
      <c r="D43" t="s">
        <v>31</v>
      </c>
      <c r="E43" t="s">
        <v>21</v>
      </c>
      <c r="F43" t="s">
        <v>22</v>
      </c>
      <c r="G43">
        <v>3</v>
      </c>
      <c r="H43">
        <v>52000</v>
      </c>
      <c r="I43" t="s">
        <v>36</v>
      </c>
      <c r="J43" t="s">
        <v>29</v>
      </c>
      <c r="K43" t="s">
        <v>37</v>
      </c>
      <c r="L43">
        <f t="shared" si="0"/>
        <v>156000</v>
      </c>
      <c r="Q43" t="str">
        <f>_xlfn.XLOOKUP(1005,A6,E6)</f>
        <v>Laptop</v>
      </c>
    </row>
    <row r="44" spans="1:19" ht="15.75" customHeight="1">
      <c r="A44">
        <v>1043</v>
      </c>
      <c r="B44" s="3">
        <v>46041</v>
      </c>
      <c r="C44" t="s">
        <v>19</v>
      </c>
      <c r="D44" t="s">
        <v>27</v>
      </c>
      <c r="E44" t="s">
        <v>21</v>
      </c>
      <c r="F44" t="s">
        <v>22</v>
      </c>
      <c r="G44">
        <v>10</v>
      </c>
      <c r="H44">
        <v>58000</v>
      </c>
      <c r="I44" t="s">
        <v>23</v>
      </c>
      <c r="J44" t="s">
        <v>29</v>
      </c>
      <c r="K44" t="s">
        <v>35</v>
      </c>
      <c r="L44">
        <f t="shared" si="0"/>
        <v>580000</v>
      </c>
    </row>
    <row r="45" spans="1:19" ht="15.75" customHeight="1">
      <c r="A45">
        <v>1044</v>
      </c>
      <c r="B45" s="3">
        <v>46070</v>
      </c>
      <c r="C45" t="s">
        <v>43</v>
      </c>
      <c r="D45" t="s">
        <v>20</v>
      </c>
      <c r="E45" t="s">
        <v>28</v>
      </c>
      <c r="F45" t="s">
        <v>22</v>
      </c>
      <c r="G45">
        <v>14</v>
      </c>
      <c r="H45">
        <v>10500</v>
      </c>
      <c r="I45" t="s">
        <v>23</v>
      </c>
      <c r="J45" t="s">
        <v>29</v>
      </c>
      <c r="K45" t="s">
        <v>37</v>
      </c>
      <c r="L45">
        <f t="shared" si="0"/>
        <v>147000</v>
      </c>
    </row>
    <row r="46" spans="1:19" ht="15.75" customHeight="1">
      <c r="A46">
        <v>1045</v>
      </c>
      <c r="B46" s="3">
        <v>46028</v>
      </c>
      <c r="C46" t="s">
        <v>33</v>
      </c>
      <c r="D46" t="s">
        <v>20</v>
      </c>
      <c r="E46" t="s">
        <v>52</v>
      </c>
      <c r="F46" t="s">
        <v>22</v>
      </c>
      <c r="G46">
        <v>11</v>
      </c>
      <c r="H46">
        <v>12000</v>
      </c>
      <c r="I46" t="s">
        <v>23</v>
      </c>
      <c r="J46" t="s">
        <v>24</v>
      </c>
      <c r="K46" t="s">
        <v>37</v>
      </c>
      <c r="L46">
        <f t="shared" si="0"/>
        <v>132000</v>
      </c>
    </row>
    <row r="47" spans="1:19" ht="15.75" customHeight="1">
      <c r="A47">
        <v>1046</v>
      </c>
      <c r="B47" s="3">
        <v>46029</v>
      </c>
      <c r="C47" t="s">
        <v>30</v>
      </c>
      <c r="D47" t="s">
        <v>54</v>
      </c>
      <c r="E47" t="s">
        <v>47</v>
      </c>
      <c r="F47" t="s">
        <v>40</v>
      </c>
      <c r="G47">
        <v>8</v>
      </c>
      <c r="H47">
        <v>800</v>
      </c>
      <c r="I47" t="s">
        <v>36</v>
      </c>
      <c r="J47" t="s">
        <v>29</v>
      </c>
      <c r="K47" t="s">
        <v>35</v>
      </c>
      <c r="L47">
        <f t="shared" si="0"/>
        <v>6400</v>
      </c>
    </row>
    <row r="48" spans="1:19" ht="15.75" customHeight="1">
      <c r="A48">
        <v>1047</v>
      </c>
      <c r="B48" s="3">
        <v>46028</v>
      </c>
      <c r="C48" t="s">
        <v>33</v>
      </c>
      <c r="D48" t="s">
        <v>34</v>
      </c>
      <c r="E48" t="s">
        <v>39</v>
      </c>
      <c r="F48" t="s">
        <v>40</v>
      </c>
      <c r="G48">
        <v>7</v>
      </c>
      <c r="H48">
        <v>2200</v>
      </c>
      <c r="I48" t="s">
        <v>23</v>
      </c>
      <c r="J48" t="s">
        <v>41</v>
      </c>
      <c r="K48" t="s">
        <v>35</v>
      </c>
      <c r="L48">
        <f t="shared" si="0"/>
        <v>15400</v>
      </c>
    </row>
    <row r="49" spans="1:12" ht="15.75" customHeight="1">
      <c r="A49">
        <v>1048</v>
      </c>
      <c r="B49" s="3">
        <v>46107</v>
      </c>
      <c r="C49" t="s">
        <v>43</v>
      </c>
      <c r="D49" t="s">
        <v>34</v>
      </c>
      <c r="E49" t="s">
        <v>28</v>
      </c>
      <c r="F49" t="s">
        <v>22</v>
      </c>
      <c r="G49">
        <v>13</v>
      </c>
      <c r="H49">
        <v>9000</v>
      </c>
      <c r="I49" t="s">
        <v>23</v>
      </c>
      <c r="J49" t="s">
        <v>41</v>
      </c>
      <c r="K49" t="s">
        <v>35</v>
      </c>
      <c r="L49">
        <f t="shared" si="0"/>
        <v>117000</v>
      </c>
    </row>
    <row r="50" spans="1:12" ht="15.75" customHeight="1">
      <c r="A50">
        <v>1049</v>
      </c>
      <c r="B50" s="3">
        <v>46099</v>
      </c>
      <c r="C50" t="s">
        <v>26</v>
      </c>
      <c r="D50" t="s">
        <v>31</v>
      </c>
      <c r="E50" t="s">
        <v>44</v>
      </c>
      <c r="F50" t="s">
        <v>40</v>
      </c>
      <c r="G50">
        <v>2</v>
      </c>
      <c r="H50">
        <v>1800</v>
      </c>
      <c r="I50" t="s">
        <v>36</v>
      </c>
      <c r="J50" t="s">
        <v>41</v>
      </c>
      <c r="K50" t="s">
        <v>37</v>
      </c>
      <c r="L50">
        <f t="shared" si="0"/>
        <v>3600</v>
      </c>
    </row>
    <row r="51" spans="1:12" ht="15.75" customHeight="1">
      <c r="A51">
        <v>1050</v>
      </c>
      <c r="B51" s="3">
        <v>46102</v>
      </c>
      <c r="C51" t="s">
        <v>33</v>
      </c>
      <c r="D51" t="s">
        <v>31</v>
      </c>
      <c r="E51" t="s">
        <v>28</v>
      </c>
      <c r="F51" t="s">
        <v>22</v>
      </c>
      <c r="G51">
        <v>4</v>
      </c>
      <c r="H51">
        <v>10500</v>
      </c>
      <c r="I51" t="s">
        <v>36</v>
      </c>
      <c r="J51" t="s">
        <v>24</v>
      </c>
      <c r="K51" t="s">
        <v>37</v>
      </c>
      <c r="L51">
        <f t="shared" si="0"/>
        <v>42000</v>
      </c>
    </row>
    <row r="52" spans="1:12" ht="15.75" customHeight="1"/>
    <row r="53" spans="1:12" ht="15.75" customHeight="1"/>
    <row r="54" spans="1:12" ht="15.75" customHeight="1"/>
    <row r="55" spans="1:12" ht="15.75" customHeight="1"/>
    <row r="56" spans="1:12" ht="15.75" customHeight="1"/>
    <row r="57" spans="1:12" ht="15.75" customHeight="1"/>
    <row r="58" spans="1:12" ht="15.75" customHeight="1"/>
    <row r="59" spans="1:12" ht="15.75" customHeight="1"/>
    <row r="60" spans="1:12" ht="15.75" customHeight="1"/>
    <row r="61" spans="1:12" ht="15.75" customHeight="1"/>
    <row r="62" spans="1:12" ht="15.75" customHeight="1"/>
    <row r="63" spans="1:12" ht="15.75" customHeight="1"/>
    <row r="64" spans="1:12" ht="15.75" customHeight="1"/>
    <row r="65" spans="2:2" ht="15.75" customHeight="1"/>
    <row r="66" spans="2:2" ht="15.75" customHeight="1"/>
    <row r="67" spans="2:2" ht="15.75" customHeight="1"/>
    <row r="68" spans="2:2" ht="15.75" customHeight="1"/>
    <row r="69" spans="2:2" ht="15.75" customHeight="1"/>
    <row r="70" spans="2:2" ht="15.75" customHeight="1"/>
    <row r="71" spans="2:2" ht="15.75" customHeight="1"/>
    <row r="72" spans="2:2" ht="15.75" customHeight="1"/>
    <row r="73" spans="2:2" ht="15.75" customHeight="1"/>
    <row r="74" spans="2:2" ht="15.75" customHeight="1"/>
    <row r="75" spans="2:2" ht="15.75" customHeight="1"/>
    <row r="76" spans="2:2" ht="15.75" customHeight="1">
      <c r="B76" t="s">
        <v>59</v>
      </c>
    </row>
    <row r="77" spans="2:2" ht="15.75" customHeight="1">
      <c r="B77" t="s">
        <v>60</v>
      </c>
    </row>
    <row r="78" spans="2:2" ht="15.75" customHeight="1">
      <c r="B78" t="s">
        <v>61</v>
      </c>
    </row>
    <row r="79" spans="2:2" ht="15.75" customHeight="1">
      <c r="B79" t="s">
        <v>62</v>
      </c>
    </row>
    <row r="80" spans="2:2" ht="15.75" customHeight="1">
      <c r="B80" t="s">
        <v>63</v>
      </c>
    </row>
    <row r="81" spans="2:2" ht="15.75" customHeight="1">
      <c r="B81" t="s">
        <v>64</v>
      </c>
    </row>
    <row r="82" spans="2:2" ht="15.75" customHeight="1">
      <c r="B82" t="s">
        <v>65</v>
      </c>
    </row>
    <row r="83" spans="2:2" ht="15.75" customHeight="1">
      <c r="B83" t="s">
        <v>66</v>
      </c>
    </row>
    <row r="84" spans="2:2" ht="15.75" customHeight="1">
      <c r="B84" t="s">
        <v>67</v>
      </c>
    </row>
    <row r="85" spans="2:2" ht="15.75" customHeight="1">
      <c r="B85" t="s">
        <v>68</v>
      </c>
    </row>
    <row r="86" spans="2:2" ht="15.75" customHeight="1"/>
    <row r="87" spans="2:2" ht="15.75" customHeight="1"/>
    <row r="88" spans="2:2" ht="15.75" customHeight="1"/>
    <row r="89" spans="2:2" ht="15.75" customHeight="1"/>
    <row r="90" spans="2:2" ht="15.75" customHeight="1"/>
    <row r="91" spans="2:2" ht="15.75" customHeight="1"/>
    <row r="92" spans="2:2" ht="15.75" customHeight="1"/>
    <row r="93" spans="2:2" ht="15.75" customHeight="1"/>
    <row r="94" spans="2:2" ht="15.75" customHeight="1"/>
    <row r="95" spans="2:2" ht="15.75" customHeight="1"/>
    <row r="96" spans="2:2" ht="15.75" customHeight="1"/>
    <row r="97" ht="15.75" customHeight="1"/>
    <row r="98" ht="15.75" customHeight="1"/>
    <row r="99" ht="15.75" customHeight="1"/>
    <row r="100" ht="15.75" customHeight="1"/>
  </sheetData>
  <conditionalFormatting sqref="A1:A1048576">
    <cfRule type="duplicateValues" dxfId="4" priority="1"/>
  </conditionalFormatting>
  <conditionalFormatting sqref="G1:G1048576">
    <cfRule type="cellIs" dxfId="3" priority="4" operator="lessThan">
      <formula>5</formula>
    </cfRule>
    <cfRule type="cellIs" dxfId="2" priority="5" operator="greaterThan">
      <formula>15</formula>
    </cfRule>
  </conditionalFormatting>
  <conditionalFormatting sqref="H1:H1048576">
    <cfRule type="cellIs" dxfId="1" priority="3" operator="greaterThan">
      <formula>50000</formula>
    </cfRule>
  </conditionalFormatting>
  <conditionalFormatting sqref="K1:K1048576">
    <cfRule type="containsText" dxfId="0" priority="2" operator="containsText" text="pending">
      <formula>NOT(ISERROR(SEARCH("pending",K1)))</formula>
    </cfRule>
  </conditionalFormatting>
  <pageMargins left="0.75" right="0.75" top="1" bottom="1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DFC1B-CC8D-4ECA-8326-3106A3937873}">
  <dimension ref="A1:P181"/>
  <sheetViews>
    <sheetView workbookViewId="0">
      <selection activeCell="O2" sqref="O2:O21"/>
    </sheetView>
  </sheetViews>
  <sheetFormatPr defaultRowHeight="14.4"/>
  <cols>
    <col min="1" max="1" width="10.77734375" bestFit="1" customWidth="1"/>
    <col min="2" max="2" width="16.77734375" style="5" bestFit="1" customWidth="1"/>
    <col min="3" max="3" width="16.77734375" style="6" bestFit="1" customWidth="1"/>
    <col min="4" max="4" width="10.6640625" bestFit="1" customWidth="1"/>
    <col min="5" max="5" width="13.21875" bestFit="1" customWidth="1"/>
    <col min="6" max="6" width="15.109375" bestFit="1" customWidth="1"/>
    <col min="7" max="7" width="11.109375" bestFit="1" customWidth="1"/>
    <col min="8" max="8" width="17.44140625" bestFit="1" customWidth="1"/>
    <col min="9" max="9" width="10.6640625" bestFit="1" customWidth="1"/>
    <col min="10" max="10" width="28.33203125" bestFit="1" customWidth="1"/>
    <col min="11" max="11" width="16.5546875" bestFit="1" customWidth="1"/>
    <col min="12" max="12" width="7.5546875" bestFit="1" customWidth="1"/>
    <col min="13" max="13" width="11.88671875" bestFit="1" customWidth="1"/>
    <col min="14" max="14" width="16.88671875" bestFit="1" customWidth="1"/>
    <col min="15" max="15" width="14.21875" bestFit="1" customWidth="1"/>
    <col min="16" max="16" width="12.6640625" bestFit="1" customWidth="1"/>
  </cols>
  <sheetData>
    <row r="1" spans="1:16">
      <c r="A1" t="s">
        <v>69</v>
      </c>
      <c r="B1" s="5" t="s">
        <v>70</v>
      </c>
      <c r="C1" s="6" t="s">
        <v>71</v>
      </c>
      <c r="D1" t="s">
        <v>2</v>
      </c>
      <c r="E1" t="s">
        <v>3</v>
      </c>
      <c r="F1" t="s">
        <v>72</v>
      </c>
      <c r="G1" t="s">
        <v>4</v>
      </c>
      <c r="H1" t="s">
        <v>73</v>
      </c>
      <c r="I1" t="s">
        <v>74</v>
      </c>
      <c r="J1" t="s">
        <v>75</v>
      </c>
      <c r="K1" t="s">
        <v>8</v>
      </c>
      <c r="L1" t="s">
        <v>6</v>
      </c>
      <c r="M1" t="s">
        <v>7</v>
      </c>
      <c r="N1" t="s">
        <v>9</v>
      </c>
      <c r="O1" t="s">
        <v>10</v>
      </c>
      <c r="P1" t="s">
        <v>76</v>
      </c>
    </row>
    <row r="2" spans="1:16">
      <c r="A2" t="s">
        <v>77</v>
      </c>
      <c r="B2" s="5">
        <v>46163</v>
      </c>
      <c r="C2" s="5">
        <v>46167</v>
      </c>
      <c r="D2" t="s">
        <v>30</v>
      </c>
      <c r="E2" t="s">
        <v>78</v>
      </c>
      <c r="F2" t="s">
        <v>22</v>
      </c>
      <c r="G2" t="s">
        <v>21</v>
      </c>
      <c r="H2" t="s">
        <v>79</v>
      </c>
      <c r="I2" t="s">
        <v>26</v>
      </c>
      <c r="J2" t="s">
        <v>80</v>
      </c>
      <c r="K2" t="s">
        <v>81</v>
      </c>
      <c r="L2">
        <v>24</v>
      </c>
      <c r="M2">
        <v>77900</v>
      </c>
      <c r="N2" t="s">
        <v>24</v>
      </c>
      <c r="O2" t="s">
        <v>35</v>
      </c>
      <c r="P2">
        <v>1869600</v>
      </c>
    </row>
    <row r="3" spans="1:16">
      <c r="A3" t="s">
        <v>82</v>
      </c>
      <c r="B3" s="5">
        <v>46134</v>
      </c>
      <c r="C3" s="5">
        <v>46138</v>
      </c>
      <c r="D3" t="s">
        <v>43</v>
      </c>
      <c r="E3" t="s">
        <v>20</v>
      </c>
      <c r="F3" t="s">
        <v>22</v>
      </c>
      <c r="G3" t="s">
        <v>21</v>
      </c>
      <c r="H3" t="s">
        <v>83</v>
      </c>
      <c r="I3" t="s">
        <v>43</v>
      </c>
      <c r="J3" t="s">
        <v>84</v>
      </c>
      <c r="K3" t="s">
        <v>36</v>
      </c>
      <c r="L3">
        <v>8</v>
      </c>
      <c r="M3">
        <v>44700</v>
      </c>
      <c r="N3" t="s">
        <v>32</v>
      </c>
      <c r="O3" t="s">
        <v>35</v>
      </c>
      <c r="P3">
        <v>357600</v>
      </c>
    </row>
    <row r="4" spans="1:16">
      <c r="A4" t="s">
        <v>85</v>
      </c>
      <c r="B4" s="5">
        <v>46239</v>
      </c>
      <c r="C4" s="5">
        <v>46245</v>
      </c>
      <c r="D4" t="s">
        <v>30</v>
      </c>
      <c r="E4" t="s">
        <v>20</v>
      </c>
      <c r="F4" t="s">
        <v>22</v>
      </c>
      <c r="G4" t="s">
        <v>52</v>
      </c>
      <c r="H4" t="s">
        <v>86</v>
      </c>
      <c r="I4" t="s">
        <v>19</v>
      </c>
      <c r="J4" t="s">
        <v>87</v>
      </c>
      <c r="K4" t="s">
        <v>23</v>
      </c>
      <c r="L4">
        <v>3</v>
      </c>
      <c r="M4">
        <v>25800</v>
      </c>
      <c r="N4" t="s">
        <v>32</v>
      </c>
      <c r="O4" t="s">
        <v>35</v>
      </c>
      <c r="P4">
        <v>77400</v>
      </c>
    </row>
    <row r="5" spans="1:16">
      <c r="A5" t="s">
        <v>88</v>
      </c>
      <c r="B5" s="5">
        <v>46258</v>
      </c>
      <c r="C5" s="5">
        <v>46267</v>
      </c>
      <c r="D5" t="s">
        <v>33</v>
      </c>
      <c r="E5" t="s">
        <v>27</v>
      </c>
      <c r="F5" t="s">
        <v>89</v>
      </c>
      <c r="G5" t="s">
        <v>90</v>
      </c>
      <c r="H5" t="s">
        <v>91</v>
      </c>
      <c r="I5" t="s">
        <v>43</v>
      </c>
      <c r="J5" t="s">
        <v>92</v>
      </c>
      <c r="K5" t="s">
        <v>36</v>
      </c>
      <c r="L5">
        <v>21</v>
      </c>
      <c r="M5">
        <v>80</v>
      </c>
      <c r="N5" t="s">
        <v>41</v>
      </c>
      <c r="O5" t="s">
        <v>35</v>
      </c>
      <c r="P5">
        <v>1680</v>
      </c>
    </row>
    <row r="6" spans="1:16">
      <c r="A6" t="s">
        <v>93</v>
      </c>
      <c r="B6" s="5">
        <v>46139</v>
      </c>
      <c r="C6" s="5">
        <v>46144</v>
      </c>
      <c r="D6" t="s">
        <v>30</v>
      </c>
      <c r="E6" t="s">
        <v>27</v>
      </c>
      <c r="F6" t="s">
        <v>22</v>
      </c>
      <c r="G6" t="s">
        <v>21</v>
      </c>
      <c r="H6" t="s">
        <v>91</v>
      </c>
      <c r="I6" t="s">
        <v>33</v>
      </c>
      <c r="J6" t="s">
        <v>92</v>
      </c>
      <c r="K6" t="s">
        <v>36</v>
      </c>
      <c r="L6">
        <v>15</v>
      </c>
      <c r="M6">
        <v>73800</v>
      </c>
      <c r="N6" t="s">
        <v>41</v>
      </c>
      <c r="O6" t="s">
        <v>35</v>
      </c>
      <c r="P6">
        <v>1107000</v>
      </c>
    </row>
    <row r="7" spans="1:16">
      <c r="A7" t="s">
        <v>94</v>
      </c>
      <c r="B7" s="5">
        <v>46059</v>
      </c>
      <c r="C7" s="5">
        <v>46069</v>
      </c>
      <c r="D7" t="s">
        <v>43</v>
      </c>
      <c r="E7" t="s">
        <v>78</v>
      </c>
      <c r="F7" t="s">
        <v>89</v>
      </c>
      <c r="G7" t="s">
        <v>95</v>
      </c>
      <c r="H7" t="s">
        <v>96</v>
      </c>
      <c r="I7" t="s">
        <v>30</v>
      </c>
      <c r="J7" t="s">
        <v>97</v>
      </c>
      <c r="K7" t="s">
        <v>23</v>
      </c>
      <c r="L7">
        <v>15</v>
      </c>
      <c r="M7">
        <v>13800</v>
      </c>
      <c r="N7" t="s">
        <v>32</v>
      </c>
      <c r="O7" t="s">
        <v>35</v>
      </c>
      <c r="P7">
        <v>207000</v>
      </c>
    </row>
    <row r="8" spans="1:16">
      <c r="A8" t="s">
        <v>98</v>
      </c>
      <c r="B8" s="5">
        <v>46051</v>
      </c>
      <c r="C8" s="5">
        <v>46055</v>
      </c>
      <c r="D8" t="s">
        <v>19</v>
      </c>
      <c r="E8" t="s">
        <v>54</v>
      </c>
      <c r="F8" t="s">
        <v>99</v>
      </c>
      <c r="G8" t="s">
        <v>100</v>
      </c>
      <c r="H8" t="s">
        <v>83</v>
      </c>
      <c r="I8" t="s">
        <v>19</v>
      </c>
      <c r="J8" t="s">
        <v>84</v>
      </c>
      <c r="K8" t="s">
        <v>23</v>
      </c>
      <c r="L8">
        <v>7</v>
      </c>
      <c r="M8">
        <v>7800</v>
      </c>
      <c r="N8" t="s">
        <v>41</v>
      </c>
      <c r="O8" t="s">
        <v>35</v>
      </c>
      <c r="P8">
        <v>54600</v>
      </c>
    </row>
    <row r="9" spans="1:16">
      <c r="A9" t="s">
        <v>101</v>
      </c>
      <c r="B9" s="5">
        <v>46257</v>
      </c>
      <c r="C9" s="5">
        <v>46260</v>
      </c>
      <c r="D9" t="s">
        <v>30</v>
      </c>
      <c r="E9" t="s">
        <v>20</v>
      </c>
      <c r="F9" t="s">
        <v>40</v>
      </c>
      <c r="G9" t="s">
        <v>102</v>
      </c>
      <c r="H9" t="s">
        <v>103</v>
      </c>
      <c r="I9" t="s">
        <v>43</v>
      </c>
      <c r="J9" t="s">
        <v>87</v>
      </c>
      <c r="K9" t="s">
        <v>81</v>
      </c>
      <c r="L9">
        <v>9</v>
      </c>
      <c r="M9">
        <v>5600</v>
      </c>
      <c r="N9" t="s">
        <v>32</v>
      </c>
      <c r="O9" t="s">
        <v>25</v>
      </c>
      <c r="P9">
        <v>50400</v>
      </c>
    </row>
    <row r="10" spans="1:16">
      <c r="A10" t="s">
        <v>104</v>
      </c>
      <c r="B10" s="5">
        <v>46093</v>
      </c>
      <c r="C10" s="5">
        <v>46102</v>
      </c>
      <c r="D10" t="s">
        <v>26</v>
      </c>
      <c r="E10" t="s">
        <v>27</v>
      </c>
      <c r="F10" t="s">
        <v>40</v>
      </c>
      <c r="G10" t="s">
        <v>39</v>
      </c>
      <c r="H10" t="s">
        <v>105</v>
      </c>
      <c r="I10" t="s">
        <v>26</v>
      </c>
      <c r="J10" t="s">
        <v>106</v>
      </c>
      <c r="K10" t="s">
        <v>23</v>
      </c>
      <c r="L10">
        <v>21</v>
      </c>
      <c r="M10">
        <v>2400</v>
      </c>
      <c r="N10" t="s">
        <v>29</v>
      </c>
      <c r="O10" t="s">
        <v>37</v>
      </c>
      <c r="P10">
        <v>50400</v>
      </c>
    </row>
    <row r="11" spans="1:16">
      <c r="A11" t="s">
        <v>107</v>
      </c>
      <c r="B11" s="5">
        <v>46218</v>
      </c>
      <c r="C11" s="5">
        <v>46228</v>
      </c>
      <c r="D11" t="s">
        <v>43</v>
      </c>
      <c r="E11" t="s">
        <v>34</v>
      </c>
      <c r="F11" t="s">
        <v>40</v>
      </c>
      <c r="G11" t="s">
        <v>44</v>
      </c>
      <c r="H11" t="s">
        <v>105</v>
      </c>
      <c r="I11" t="s">
        <v>43</v>
      </c>
      <c r="J11" t="s">
        <v>106</v>
      </c>
      <c r="K11" t="s">
        <v>23</v>
      </c>
      <c r="L11">
        <v>22</v>
      </c>
      <c r="M11">
        <v>1900</v>
      </c>
      <c r="N11" t="s">
        <v>24</v>
      </c>
      <c r="O11" t="s">
        <v>37</v>
      </c>
      <c r="P11">
        <v>41800</v>
      </c>
    </row>
    <row r="12" spans="1:16">
      <c r="A12" t="s">
        <v>108</v>
      </c>
      <c r="B12" s="5">
        <v>46173</v>
      </c>
      <c r="C12" s="5">
        <v>46180</v>
      </c>
      <c r="D12" t="s">
        <v>33</v>
      </c>
      <c r="E12" t="s">
        <v>27</v>
      </c>
      <c r="F12" t="s">
        <v>89</v>
      </c>
      <c r="G12" t="s">
        <v>90</v>
      </c>
      <c r="H12" t="s">
        <v>96</v>
      </c>
      <c r="I12" t="s">
        <v>19</v>
      </c>
      <c r="J12" t="s">
        <v>97</v>
      </c>
      <c r="K12" t="s">
        <v>81</v>
      </c>
      <c r="L12">
        <v>25</v>
      </c>
      <c r="M12">
        <v>80</v>
      </c>
      <c r="N12" t="s">
        <v>29</v>
      </c>
      <c r="O12" t="s">
        <v>35</v>
      </c>
      <c r="P12">
        <v>2000</v>
      </c>
    </row>
    <row r="13" spans="1:16">
      <c r="A13" t="s">
        <v>109</v>
      </c>
      <c r="B13" s="5">
        <v>46124</v>
      </c>
      <c r="C13" s="5">
        <v>46127</v>
      </c>
      <c r="D13" t="s">
        <v>30</v>
      </c>
      <c r="E13" t="s">
        <v>31</v>
      </c>
      <c r="F13" t="s">
        <v>22</v>
      </c>
      <c r="G13" t="s">
        <v>110</v>
      </c>
      <c r="H13" t="s">
        <v>111</v>
      </c>
      <c r="I13" t="s">
        <v>43</v>
      </c>
      <c r="J13" t="s">
        <v>112</v>
      </c>
      <c r="K13" t="s">
        <v>23</v>
      </c>
      <c r="L13">
        <v>20</v>
      </c>
      <c r="M13">
        <v>37900</v>
      </c>
      <c r="N13" t="s">
        <v>41</v>
      </c>
      <c r="O13" t="s">
        <v>35</v>
      </c>
      <c r="P13">
        <v>758000</v>
      </c>
    </row>
    <row r="14" spans="1:16">
      <c r="A14" t="s">
        <v>113</v>
      </c>
      <c r="B14" s="5">
        <v>46145</v>
      </c>
      <c r="C14" s="5">
        <v>46146</v>
      </c>
      <c r="D14" t="s">
        <v>43</v>
      </c>
      <c r="E14" t="s">
        <v>27</v>
      </c>
      <c r="F14" t="s">
        <v>22</v>
      </c>
      <c r="G14" t="s">
        <v>110</v>
      </c>
      <c r="H14" t="s">
        <v>79</v>
      </c>
      <c r="I14" t="s">
        <v>26</v>
      </c>
      <c r="J14" t="s">
        <v>80</v>
      </c>
      <c r="K14" t="s">
        <v>81</v>
      </c>
      <c r="L14">
        <v>16</v>
      </c>
      <c r="M14">
        <v>27700</v>
      </c>
      <c r="N14" t="s">
        <v>24</v>
      </c>
      <c r="O14" t="s">
        <v>114</v>
      </c>
      <c r="P14">
        <v>443200</v>
      </c>
    </row>
    <row r="15" spans="1:16">
      <c r="A15" t="s">
        <v>115</v>
      </c>
      <c r="B15" s="5">
        <v>46266</v>
      </c>
      <c r="C15" s="5">
        <v>46275</v>
      </c>
      <c r="D15" t="s">
        <v>19</v>
      </c>
      <c r="E15" t="s">
        <v>31</v>
      </c>
      <c r="F15" t="s">
        <v>99</v>
      </c>
      <c r="G15" t="s">
        <v>116</v>
      </c>
      <c r="H15" t="s">
        <v>96</v>
      </c>
      <c r="I15" t="s">
        <v>43</v>
      </c>
      <c r="J15" t="s">
        <v>97</v>
      </c>
      <c r="K15" t="s">
        <v>36</v>
      </c>
      <c r="L15">
        <v>7</v>
      </c>
      <c r="M15">
        <v>14400</v>
      </c>
      <c r="N15" t="s">
        <v>29</v>
      </c>
      <c r="O15" t="s">
        <v>37</v>
      </c>
      <c r="P15">
        <v>100800</v>
      </c>
    </row>
    <row r="16" spans="1:16">
      <c r="A16" t="s">
        <v>117</v>
      </c>
      <c r="B16" s="5">
        <v>46287</v>
      </c>
      <c r="C16" s="5">
        <v>46295</v>
      </c>
      <c r="D16" t="s">
        <v>30</v>
      </c>
      <c r="E16" t="s">
        <v>20</v>
      </c>
      <c r="F16" t="s">
        <v>40</v>
      </c>
      <c r="G16" t="s">
        <v>39</v>
      </c>
      <c r="H16" t="s">
        <v>91</v>
      </c>
      <c r="I16" t="s">
        <v>26</v>
      </c>
      <c r="J16" t="s">
        <v>92</v>
      </c>
      <c r="K16" t="s">
        <v>36</v>
      </c>
      <c r="L16">
        <v>1</v>
      </c>
      <c r="M16">
        <v>3800</v>
      </c>
      <c r="N16" t="s">
        <v>29</v>
      </c>
      <c r="O16" t="s">
        <v>35</v>
      </c>
      <c r="P16">
        <v>3800</v>
      </c>
    </row>
    <row r="17" spans="1:16">
      <c r="A17" t="s">
        <v>118</v>
      </c>
      <c r="B17" s="5">
        <v>46053</v>
      </c>
      <c r="C17" s="5">
        <v>46057</v>
      </c>
      <c r="D17" t="s">
        <v>26</v>
      </c>
      <c r="E17" t="s">
        <v>34</v>
      </c>
      <c r="F17" t="s">
        <v>22</v>
      </c>
      <c r="G17" t="s">
        <v>21</v>
      </c>
      <c r="H17" t="s">
        <v>91</v>
      </c>
      <c r="I17" t="s">
        <v>26</v>
      </c>
      <c r="J17" t="s">
        <v>92</v>
      </c>
      <c r="K17" t="s">
        <v>81</v>
      </c>
      <c r="L17">
        <v>8</v>
      </c>
      <c r="M17">
        <v>76200</v>
      </c>
      <c r="N17" t="s">
        <v>41</v>
      </c>
      <c r="O17" t="s">
        <v>37</v>
      </c>
      <c r="P17">
        <v>609600</v>
      </c>
    </row>
    <row r="18" spans="1:16">
      <c r="A18" t="s">
        <v>119</v>
      </c>
      <c r="B18" s="5">
        <v>46265</v>
      </c>
      <c r="C18" s="5">
        <v>46269</v>
      </c>
      <c r="D18" t="s">
        <v>33</v>
      </c>
      <c r="E18" t="s">
        <v>20</v>
      </c>
      <c r="F18" t="s">
        <v>99</v>
      </c>
      <c r="G18" t="s">
        <v>116</v>
      </c>
      <c r="H18" t="s">
        <v>105</v>
      </c>
      <c r="I18" t="s">
        <v>26</v>
      </c>
      <c r="J18" t="s">
        <v>106</v>
      </c>
      <c r="K18" t="s">
        <v>23</v>
      </c>
      <c r="L18">
        <v>22</v>
      </c>
      <c r="M18">
        <v>15200</v>
      </c>
      <c r="N18" t="s">
        <v>32</v>
      </c>
      <c r="O18" t="s">
        <v>35</v>
      </c>
      <c r="P18">
        <v>334400</v>
      </c>
    </row>
    <row r="19" spans="1:16">
      <c r="A19" t="s">
        <v>120</v>
      </c>
      <c r="B19" s="5">
        <v>46073</v>
      </c>
      <c r="C19" s="5">
        <v>46074</v>
      </c>
      <c r="D19" t="s">
        <v>19</v>
      </c>
      <c r="E19" t="s">
        <v>27</v>
      </c>
      <c r="F19" t="s">
        <v>40</v>
      </c>
      <c r="G19" t="s">
        <v>102</v>
      </c>
      <c r="H19" t="s">
        <v>121</v>
      </c>
      <c r="I19" t="s">
        <v>30</v>
      </c>
      <c r="J19" t="s">
        <v>122</v>
      </c>
      <c r="K19" t="s">
        <v>23</v>
      </c>
      <c r="L19">
        <v>7</v>
      </c>
      <c r="M19">
        <v>1800</v>
      </c>
      <c r="N19" t="s">
        <v>32</v>
      </c>
      <c r="O19" t="s">
        <v>35</v>
      </c>
      <c r="P19">
        <v>12600</v>
      </c>
    </row>
    <row r="20" spans="1:16">
      <c r="A20" t="s">
        <v>123</v>
      </c>
      <c r="B20" s="5">
        <v>46150</v>
      </c>
      <c r="C20" s="6">
        <v>46152</v>
      </c>
      <c r="D20" t="s">
        <v>43</v>
      </c>
      <c r="E20" t="s">
        <v>27</v>
      </c>
      <c r="F20" t="s">
        <v>99</v>
      </c>
      <c r="G20" t="s">
        <v>100</v>
      </c>
      <c r="H20" t="s">
        <v>105</v>
      </c>
      <c r="I20" t="s">
        <v>26</v>
      </c>
      <c r="J20" t="s">
        <v>106</v>
      </c>
      <c r="K20" t="s">
        <v>81</v>
      </c>
      <c r="L20">
        <v>18</v>
      </c>
      <c r="M20">
        <v>5400</v>
      </c>
      <c r="N20" t="s">
        <v>24</v>
      </c>
      <c r="O20" t="s">
        <v>114</v>
      </c>
      <c r="P20">
        <v>97200</v>
      </c>
    </row>
    <row r="21" spans="1:16">
      <c r="A21" t="s">
        <v>124</v>
      </c>
      <c r="B21" s="5">
        <v>46271</v>
      </c>
      <c r="C21" s="6">
        <v>46279</v>
      </c>
      <c r="D21" t="s">
        <v>33</v>
      </c>
      <c r="E21" t="s">
        <v>27</v>
      </c>
      <c r="F21" t="s">
        <v>99</v>
      </c>
      <c r="G21" t="s">
        <v>116</v>
      </c>
      <c r="H21" t="s">
        <v>79</v>
      </c>
      <c r="I21" t="s">
        <v>30</v>
      </c>
      <c r="J21" t="s">
        <v>80</v>
      </c>
      <c r="K21" t="s">
        <v>36</v>
      </c>
      <c r="L21">
        <v>1</v>
      </c>
      <c r="M21">
        <v>11200</v>
      </c>
      <c r="N21" t="s">
        <v>32</v>
      </c>
      <c r="O21" t="s">
        <v>35</v>
      </c>
      <c r="P21">
        <v>11200</v>
      </c>
    </row>
    <row r="22" spans="1:16">
      <c r="A22" t="s">
        <v>125</v>
      </c>
      <c r="B22" s="5">
        <v>46272</v>
      </c>
      <c r="C22" s="6">
        <v>46275</v>
      </c>
      <c r="D22" t="s">
        <v>19</v>
      </c>
      <c r="E22" t="s">
        <v>20</v>
      </c>
      <c r="F22" t="s">
        <v>40</v>
      </c>
      <c r="G22" t="s">
        <v>39</v>
      </c>
      <c r="H22" t="s">
        <v>79</v>
      </c>
      <c r="I22" t="s">
        <v>26</v>
      </c>
      <c r="J22" t="s">
        <v>80</v>
      </c>
      <c r="K22" t="s">
        <v>81</v>
      </c>
      <c r="L22">
        <v>24</v>
      </c>
      <c r="M22">
        <v>3700</v>
      </c>
      <c r="N22" t="s">
        <v>24</v>
      </c>
      <c r="O22" t="s">
        <v>37</v>
      </c>
      <c r="P22">
        <v>88800</v>
      </c>
    </row>
    <row r="23" spans="1:16">
      <c r="A23" t="s">
        <v>126</v>
      </c>
      <c r="B23" s="5">
        <v>46267</v>
      </c>
      <c r="C23" s="6">
        <v>46276</v>
      </c>
      <c r="D23" t="s">
        <v>26</v>
      </c>
      <c r="E23" t="s">
        <v>31</v>
      </c>
      <c r="F23" t="s">
        <v>22</v>
      </c>
      <c r="G23" t="s">
        <v>21</v>
      </c>
      <c r="H23" t="s">
        <v>96</v>
      </c>
      <c r="I23" t="s">
        <v>127</v>
      </c>
      <c r="J23" t="s">
        <v>97</v>
      </c>
      <c r="K23" t="s">
        <v>23</v>
      </c>
      <c r="L23">
        <v>3</v>
      </c>
      <c r="M23">
        <v>69900</v>
      </c>
      <c r="N23" t="s">
        <v>24</v>
      </c>
      <c r="O23" t="s">
        <v>37</v>
      </c>
      <c r="P23">
        <v>209700</v>
      </c>
    </row>
    <row r="24" spans="1:16">
      <c r="A24" t="s">
        <v>128</v>
      </c>
      <c r="C24" s="6">
        <v>46159</v>
      </c>
      <c r="D24" t="s">
        <v>43</v>
      </c>
      <c r="E24" t="s">
        <v>27</v>
      </c>
      <c r="F24" t="s">
        <v>99</v>
      </c>
      <c r="G24" t="s">
        <v>129</v>
      </c>
      <c r="H24" t="s">
        <v>83</v>
      </c>
      <c r="I24" t="s">
        <v>33</v>
      </c>
      <c r="J24" t="s">
        <v>84</v>
      </c>
      <c r="K24" t="s">
        <v>81</v>
      </c>
      <c r="L24">
        <v>19</v>
      </c>
      <c r="M24">
        <v>2500</v>
      </c>
      <c r="N24" t="s">
        <v>41</v>
      </c>
      <c r="O24" t="s">
        <v>114</v>
      </c>
      <c r="P24">
        <v>47500</v>
      </c>
    </row>
    <row r="25" spans="1:16">
      <c r="A25" t="s">
        <v>130</v>
      </c>
      <c r="B25" s="5">
        <v>46158</v>
      </c>
      <c r="C25" s="6">
        <v>46165</v>
      </c>
      <c r="D25" t="s">
        <v>19</v>
      </c>
      <c r="E25" t="s">
        <v>54</v>
      </c>
      <c r="F25" t="s">
        <v>99</v>
      </c>
      <c r="G25" t="s">
        <v>100</v>
      </c>
      <c r="H25" t="s">
        <v>96</v>
      </c>
      <c r="I25" t="s">
        <v>19</v>
      </c>
      <c r="J25" t="s">
        <v>97</v>
      </c>
      <c r="K25" t="s">
        <v>23</v>
      </c>
      <c r="L25">
        <v>1</v>
      </c>
      <c r="M25">
        <v>4000</v>
      </c>
      <c r="N25" t="s">
        <v>32</v>
      </c>
      <c r="O25" t="s">
        <v>35</v>
      </c>
      <c r="P25">
        <v>4000</v>
      </c>
    </row>
    <row r="26" spans="1:16">
      <c r="A26" t="s">
        <v>131</v>
      </c>
      <c r="B26" s="5">
        <v>46132</v>
      </c>
      <c r="C26" s="6">
        <v>46141</v>
      </c>
      <c r="D26" t="s">
        <v>30</v>
      </c>
      <c r="E26" t="s">
        <v>34</v>
      </c>
      <c r="F26" t="s">
        <v>22</v>
      </c>
      <c r="G26" t="s">
        <v>21</v>
      </c>
      <c r="H26" t="s">
        <v>86</v>
      </c>
      <c r="I26" t="s">
        <v>26</v>
      </c>
      <c r="J26" t="s">
        <v>87</v>
      </c>
      <c r="K26" t="s">
        <v>23</v>
      </c>
      <c r="L26">
        <v>12</v>
      </c>
      <c r="M26">
        <v>67500</v>
      </c>
      <c r="N26" t="s">
        <v>41</v>
      </c>
      <c r="O26" t="s">
        <v>35</v>
      </c>
      <c r="P26">
        <v>810000</v>
      </c>
    </row>
    <row r="27" spans="1:16">
      <c r="A27" t="s">
        <v>132</v>
      </c>
      <c r="B27" s="5">
        <v>46176</v>
      </c>
      <c r="C27" s="6">
        <v>46187</v>
      </c>
      <c r="D27" t="s">
        <v>30</v>
      </c>
      <c r="E27" t="s">
        <v>34</v>
      </c>
      <c r="F27" t="s">
        <v>89</v>
      </c>
      <c r="G27" t="s">
        <v>133</v>
      </c>
      <c r="H27" t="s">
        <v>91</v>
      </c>
      <c r="I27" t="s">
        <v>26</v>
      </c>
      <c r="J27" t="s">
        <v>92</v>
      </c>
      <c r="K27" t="s">
        <v>23</v>
      </c>
      <c r="L27">
        <v>24</v>
      </c>
      <c r="M27">
        <v>13500</v>
      </c>
      <c r="N27" t="s">
        <v>29</v>
      </c>
      <c r="O27" t="s">
        <v>35</v>
      </c>
      <c r="P27">
        <v>324000</v>
      </c>
    </row>
    <row r="28" spans="1:16">
      <c r="A28" t="s">
        <v>134</v>
      </c>
      <c r="B28" s="5">
        <v>46158</v>
      </c>
      <c r="C28" s="6">
        <v>46167</v>
      </c>
      <c r="D28" t="s">
        <v>19</v>
      </c>
      <c r="E28" t="s">
        <v>27</v>
      </c>
      <c r="F28" t="s">
        <v>99</v>
      </c>
      <c r="G28" t="s">
        <v>100</v>
      </c>
      <c r="H28" t="s">
        <v>105</v>
      </c>
      <c r="I28" t="s">
        <v>26</v>
      </c>
      <c r="J28" t="s">
        <v>106</v>
      </c>
      <c r="K28" t="s">
        <v>81</v>
      </c>
      <c r="L28">
        <v>14</v>
      </c>
      <c r="M28">
        <v>3800</v>
      </c>
      <c r="N28" t="s">
        <v>41</v>
      </c>
      <c r="O28" t="s">
        <v>35</v>
      </c>
      <c r="P28">
        <v>53200</v>
      </c>
    </row>
    <row r="29" spans="1:16">
      <c r="A29" t="s">
        <v>135</v>
      </c>
      <c r="B29" s="5">
        <v>46105</v>
      </c>
      <c r="C29" s="6">
        <v>46117</v>
      </c>
      <c r="D29" t="s">
        <v>43</v>
      </c>
      <c r="E29" t="s">
        <v>78</v>
      </c>
      <c r="F29" t="s">
        <v>89</v>
      </c>
      <c r="G29" t="s">
        <v>95</v>
      </c>
      <c r="H29" t="s">
        <v>105</v>
      </c>
      <c r="I29" t="s">
        <v>33</v>
      </c>
      <c r="J29" t="s">
        <v>106</v>
      </c>
      <c r="K29" t="s">
        <v>81</v>
      </c>
      <c r="L29">
        <v>1</v>
      </c>
      <c r="M29">
        <v>13700</v>
      </c>
      <c r="N29" t="s">
        <v>24</v>
      </c>
      <c r="O29" t="s">
        <v>35</v>
      </c>
      <c r="P29">
        <v>13700</v>
      </c>
    </row>
    <row r="30" spans="1:16">
      <c r="A30" t="s">
        <v>136</v>
      </c>
      <c r="B30" s="5">
        <v>46212</v>
      </c>
      <c r="C30" s="6">
        <v>46222</v>
      </c>
      <c r="D30" t="s">
        <v>33</v>
      </c>
      <c r="E30" t="s">
        <v>20</v>
      </c>
      <c r="F30" t="s">
        <v>99</v>
      </c>
      <c r="G30" t="s">
        <v>137</v>
      </c>
      <c r="H30" t="s">
        <v>96</v>
      </c>
      <c r="I30" t="s">
        <v>26</v>
      </c>
      <c r="J30" t="s">
        <v>97</v>
      </c>
      <c r="K30" t="s">
        <v>36</v>
      </c>
      <c r="L30">
        <v>12</v>
      </c>
      <c r="M30">
        <v>17600</v>
      </c>
      <c r="N30" t="s">
        <v>24</v>
      </c>
      <c r="O30" t="s">
        <v>25</v>
      </c>
      <c r="P30">
        <v>211200</v>
      </c>
    </row>
    <row r="31" spans="1:16">
      <c r="A31" t="s">
        <v>138</v>
      </c>
      <c r="B31" s="5">
        <v>46075</v>
      </c>
      <c r="C31" s="6">
        <v>46081</v>
      </c>
      <c r="D31" t="s">
        <v>43</v>
      </c>
      <c r="E31" t="s">
        <v>78</v>
      </c>
      <c r="F31" t="s">
        <v>99</v>
      </c>
      <c r="G31" t="s">
        <v>116</v>
      </c>
      <c r="H31" t="s">
        <v>121</v>
      </c>
      <c r="I31" t="s">
        <v>30</v>
      </c>
      <c r="J31" t="s">
        <v>122</v>
      </c>
      <c r="K31" t="s">
        <v>23</v>
      </c>
      <c r="L31">
        <v>6</v>
      </c>
      <c r="M31">
        <v>14500</v>
      </c>
      <c r="N31" t="s">
        <v>29</v>
      </c>
      <c r="O31" t="s">
        <v>25</v>
      </c>
      <c r="P31">
        <v>87000</v>
      </c>
    </row>
    <row r="32" spans="1:16">
      <c r="A32" t="s">
        <v>139</v>
      </c>
      <c r="B32" s="5">
        <v>46193</v>
      </c>
      <c r="C32" s="6">
        <v>46200</v>
      </c>
      <c r="D32" t="s">
        <v>19</v>
      </c>
      <c r="E32" t="s">
        <v>20</v>
      </c>
      <c r="F32" t="s">
        <v>22</v>
      </c>
      <c r="G32" t="s">
        <v>52</v>
      </c>
      <c r="H32" t="s">
        <v>79</v>
      </c>
      <c r="I32" t="s">
        <v>26</v>
      </c>
      <c r="J32" t="s">
        <v>80</v>
      </c>
      <c r="K32" t="s">
        <v>36</v>
      </c>
      <c r="L32">
        <v>2</v>
      </c>
      <c r="M32">
        <v>26800</v>
      </c>
      <c r="N32" t="s">
        <v>32</v>
      </c>
      <c r="O32" t="s">
        <v>35</v>
      </c>
      <c r="P32">
        <v>53600</v>
      </c>
    </row>
    <row r="33" spans="1:16">
      <c r="A33" t="s">
        <v>140</v>
      </c>
      <c r="B33" s="5">
        <v>46139</v>
      </c>
      <c r="C33" s="6">
        <v>46143</v>
      </c>
      <c r="D33" t="s">
        <v>30</v>
      </c>
      <c r="E33" t="s">
        <v>54</v>
      </c>
      <c r="F33" t="s">
        <v>40</v>
      </c>
      <c r="G33" t="s">
        <v>39</v>
      </c>
      <c r="H33" t="s">
        <v>83</v>
      </c>
      <c r="I33" t="s">
        <v>19</v>
      </c>
      <c r="J33" t="s">
        <v>84</v>
      </c>
      <c r="K33" t="s">
        <v>36</v>
      </c>
      <c r="L33">
        <v>3</v>
      </c>
      <c r="M33">
        <v>2900</v>
      </c>
      <c r="N33" t="s">
        <v>41</v>
      </c>
      <c r="O33" t="s">
        <v>35</v>
      </c>
      <c r="P33">
        <v>8700</v>
      </c>
    </row>
    <row r="34" spans="1:16">
      <c r="A34" t="s">
        <v>141</v>
      </c>
      <c r="B34" s="5">
        <v>46037</v>
      </c>
      <c r="C34" s="6">
        <v>46039</v>
      </c>
      <c r="D34" t="s">
        <v>30</v>
      </c>
      <c r="E34" t="s">
        <v>31</v>
      </c>
      <c r="F34" t="s">
        <v>40</v>
      </c>
      <c r="G34" t="s">
        <v>39</v>
      </c>
      <c r="H34" t="s">
        <v>86</v>
      </c>
      <c r="I34" t="s">
        <v>19</v>
      </c>
      <c r="J34" t="s">
        <v>87</v>
      </c>
      <c r="K34" t="s">
        <v>23</v>
      </c>
      <c r="L34">
        <v>4</v>
      </c>
      <c r="M34">
        <v>7000</v>
      </c>
      <c r="N34" t="s">
        <v>32</v>
      </c>
      <c r="O34" t="s">
        <v>35</v>
      </c>
      <c r="P34">
        <v>28000</v>
      </c>
    </row>
    <row r="35" spans="1:16">
      <c r="A35" t="s">
        <v>142</v>
      </c>
      <c r="B35" s="5">
        <v>46220</v>
      </c>
      <c r="C35" s="6">
        <v>46230</v>
      </c>
      <c r="D35" t="s">
        <v>19</v>
      </c>
      <c r="E35" t="s">
        <v>27</v>
      </c>
      <c r="F35" t="s">
        <v>89</v>
      </c>
      <c r="G35" t="s">
        <v>143</v>
      </c>
      <c r="H35" t="s">
        <v>79</v>
      </c>
      <c r="I35" t="s">
        <v>33</v>
      </c>
      <c r="J35" t="s">
        <v>80</v>
      </c>
      <c r="K35" t="s">
        <v>23</v>
      </c>
      <c r="L35">
        <v>17</v>
      </c>
      <c r="M35">
        <v>40</v>
      </c>
      <c r="N35" t="s">
        <v>29</v>
      </c>
      <c r="O35" t="s">
        <v>35</v>
      </c>
      <c r="P35">
        <v>680</v>
      </c>
    </row>
    <row r="36" spans="1:16">
      <c r="A36" t="s">
        <v>144</v>
      </c>
      <c r="B36" s="5">
        <v>46086</v>
      </c>
      <c r="C36" s="6">
        <v>46098</v>
      </c>
      <c r="D36" t="s">
        <v>43</v>
      </c>
      <c r="E36" t="s">
        <v>34</v>
      </c>
      <c r="F36" t="s">
        <v>22</v>
      </c>
      <c r="G36" t="s">
        <v>110</v>
      </c>
      <c r="H36" t="s">
        <v>86</v>
      </c>
      <c r="I36" t="s">
        <v>33</v>
      </c>
      <c r="J36" t="s">
        <v>87</v>
      </c>
      <c r="K36" t="s">
        <v>36</v>
      </c>
      <c r="L36">
        <v>13</v>
      </c>
      <c r="M36">
        <v>28000</v>
      </c>
      <c r="N36" t="s">
        <v>41</v>
      </c>
      <c r="O36" t="s">
        <v>35</v>
      </c>
      <c r="P36">
        <v>364000</v>
      </c>
    </row>
    <row r="37" spans="1:16">
      <c r="A37" t="s">
        <v>145</v>
      </c>
      <c r="B37" s="5">
        <v>46217</v>
      </c>
      <c r="C37" s="6">
        <v>46228</v>
      </c>
      <c r="D37" t="s">
        <v>43</v>
      </c>
      <c r="E37" t="s">
        <v>31</v>
      </c>
      <c r="F37" t="s">
        <v>99</v>
      </c>
      <c r="G37" t="s">
        <v>129</v>
      </c>
      <c r="H37" t="s">
        <v>96</v>
      </c>
      <c r="I37" t="s">
        <v>19</v>
      </c>
      <c r="J37" t="s">
        <v>146</v>
      </c>
      <c r="K37" t="s">
        <v>36</v>
      </c>
      <c r="L37">
        <v>18</v>
      </c>
      <c r="M37">
        <v>6000</v>
      </c>
      <c r="N37" t="s">
        <v>24</v>
      </c>
      <c r="O37" t="s">
        <v>35</v>
      </c>
      <c r="P37">
        <v>108000</v>
      </c>
    </row>
    <row r="38" spans="1:16">
      <c r="A38" t="s">
        <v>147</v>
      </c>
      <c r="B38" s="5">
        <v>46187</v>
      </c>
      <c r="C38" s="6">
        <v>46195</v>
      </c>
      <c r="D38" t="s">
        <v>33</v>
      </c>
      <c r="E38" t="s">
        <v>78</v>
      </c>
      <c r="F38" t="s">
        <v>99</v>
      </c>
      <c r="G38" t="s">
        <v>129</v>
      </c>
      <c r="H38" t="s">
        <v>105</v>
      </c>
      <c r="I38" t="s">
        <v>30</v>
      </c>
      <c r="J38" t="s">
        <v>106</v>
      </c>
      <c r="K38" t="s">
        <v>81</v>
      </c>
      <c r="L38">
        <v>16</v>
      </c>
      <c r="M38">
        <v>5500</v>
      </c>
      <c r="N38" t="s">
        <v>29</v>
      </c>
      <c r="O38" t="s">
        <v>37</v>
      </c>
      <c r="P38">
        <v>88000</v>
      </c>
    </row>
    <row r="39" spans="1:16">
      <c r="A39" t="s">
        <v>148</v>
      </c>
      <c r="B39" s="5">
        <v>46143</v>
      </c>
      <c r="C39" s="6">
        <v>46154</v>
      </c>
      <c r="D39" t="s">
        <v>30</v>
      </c>
      <c r="E39" t="s">
        <v>20</v>
      </c>
      <c r="F39" t="s">
        <v>89</v>
      </c>
      <c r="G39" t="s">
        <v>90</v>
      </c>
      <c r="H39" t="s">
        <v>86</v>
      </c>
      <c r="I39" t="s">
        <v>30</v>
      </c>
      <c r="J39" t="s">
        <v>87</v>
      </c>
      <c r="K39" t="s">
        <v>23</v>
      </c>
      <c r="L39">
        <v>2</v>
      </c>
      <c r="M39">
        <v>80</v>
      </c>
      <c r="N39" t="s">
        <v>29</v>
      </c>
      <c r="O39" t="s">
        <v>114</v>
      </c>
      <c r="P39">
        <v>160</v>
      </c>
    </row>
    <row r="40" spans="1:16">
      <c r="A40" t="s">
        <v>149</v>
      </c>
      <c r="B40" s="5">
        <v>46122</v>
      </c>
      <c r="C40" s="6">
        <v>46134</v>
      </c>
      <c r="D40" t="s">
        <v>33</v>
      </c>
      <c r="E40" t="s">
        <v>54</v>
      </c>
      <c r="F40" t="s">
        <v>22</v>
      </c>
      <c r="G40" t="s">
        <v>28</v>
      </c>
      <c r="H40" t="s">
        <v>121</v>
      </c>
      <c r="I40" t="s">
        <v>30</v>
      </c>
      <c r="J40" t="s">
        <v>122</v>
      </c>
      <c r="K40" t="s">
        <v>23</v>
      </c>
      <c r="L40">
        <v>21</v>
      </c>
      <c r="M40">
        <v>17600</v>
      </c>
      <c r="N40" t="s">
        <v>24</v>
      </c>
      <c r="O40" t="s">
        <v>25</v>
      </c>
      <c r="P40">
        <v>369600</v>
      </c>
    </row>
    <row r="41" spans="1:16">
      <c r="A41" t="s">
        <v>150</v>
      </c>
      <c r="B41" s="5">
        <v>46113</v>
      </c>
      <c r="C41" s="6">
        <v>46125</v>
      </c>
      <c r="D41" t="s">
        <v>26</v>
      </c>
      <c r="E41" t="s">
        <v>31</v>
      </c>
      <c r="F41" t="s">
        <v>22</v>
      </c>
      <c r="G41" t="s">
        <v>28</v>
      </c>
      <c r="H41" t="s">
        <v>105</v>
      </c>
      <c r="I41" t="s">
        <v>30</v>
      </c>
      <c r="J41" t="s">
        <v>106</v>
      </c>
      <c r="K41" t="s">
        <v>23</v>
      </c>
      <c r="L41">
        <v>15</v>
      </c>
      <c r="M41">
        <v>12600</v>
      </c>
      <c r="N41" t="s">
        <v>29</v>
      </c>
      <c r="O41" t="s">
        <v>25</v>
      </c>
      <c r="P41">
        <v>189000</v>
      </c>
    </row>
    <row r="42" spans="1:16">
      <c r="A42" t="s">
        <v>151</v>
      </c>
      <c r="B42" s="5">
        <v>46251</v>
      </c>
      <c r="C42" s="6">
        <v>46254</v>
      </c>
      <c r="D42" t="s">
        <v>33</v>
      </c>
      <c r="E42" t="s">
        <v>34</v>
      </c>
      <c r="F42" t="s">
        <v>89</v>
      </c>
      <c r="G42" t="s">
        <v>143</v>
      </c>
      <c r="H42" t="s">
        <v>105</v>
      </c>
      <c r="I42" t="s">
        <v>30</v>
      </c>
      <c r="J42" t="s">
        <v>106</v>
      </c>
      <c r="K42" t="s">
        <v>81</v>
      </c>
      <c r="L42">
        <v>9</v>
      </c>
      <c r="M42">
        <v>140</v>
      </c>
      <c r="N42" t="s">
        <v>32</v>
      </c>
      <c r="O42" t="s">
        <v>35</v>
      </c>
      <c r="P42">
        <v>1260</v>
      </c>
    </row>
    <row r="43" spans="1:16">
      <c r="A43" t="s">
        <v>152</v>
      </c>
      <c r="B43" s="5">
        <v>46169</v>
      </c>
      <c r="C43" s="6">
        <v>46173</v>
      </c>
      <c r="D43" t="s">
        <v>19</v>
      </c>
      <c r="E43" t="s">
        <v>34</v>
      </c>
      <c r="F43" t="s">
        <v>89</v>
      </c>
      <c r="G43" t="s">
        <v>143</v>
      </c>
      <c r="H43" t="s">
        <v>86</v>
      </c>
      <c r="I43" t="s">
        <v>43</v>
      </c>
      <c r="J43" t="s">
        <v>87</v>
      </c>
      <c r="K43" t="s">
        <v>23</v>
      </c>
      <c r="L43">
        <v>5</v>
      </c>
      <c r="M43">
        <v>40</v>
      </c>
      <c r="N43" t="s">
        <v>29</v>
      </c>
      <c r="O43" t="s">
        <v>35</v>
      </c>
      <c r="P43">
        <v>200</v>
      </c>
    </row>
    <row r="44" spans="1:16">
      <c r="A44" t="s">
        <v>153</v>
      </c>
      <c r="B44" s="5">
        <v>46235</v>
      </c>
      <c r="C44" s="6">
        <v>46242</v>
      </c>
      <c r="D44" t="s">
        <v>43</v>
      </c>
      <c r="E44" t="s">
        <v>54</v>
      </c>
      <c r="F44" t="s">
        <v>99</v>
      </c>
      <c r="G44" t="s">
        <v>116</v>
      </c>
      <c r="H44" t="s">
        <v>111</v>
      </c>
      <c r="I44" t="s">
        <v>33</v>
      </c>
      <c r="J44" t="s">
        <v>112</v>
      </c>
      <c r="K44" t="s">
        <v>23</v>
      </c>
      <c r="L44">
        <v>7</v>
      </c>
      <c r="M44">
        <v>6800</v>
      </c>
      <c r="N44" t="s">
        <v>32</v>
      </c>
      <c r="O44" t="s">
        <v>35</v>
      </c>
      <c r="P44">
        <v>47600</v>
      </c>
    </row>
    <row r="45" spans="1:16">
      <c r="A45" t="s">
        <v>154</v>
      </c>
      <c r="B45" s="5">
        <v>46026</v>
      </c>
      <c r="C45" s="6">
        <v>46032</v>
      </c>
      <c r="D45" t="s">
        <v>33</v>
      </c>
      <c r="E45" t="s">
        <v>54</v>
      </c>
      <c r="F45" t="s">
        <v>22</v>
      </c>
      <c r="G45" t="s">
        <v>28</v>
      </c>
      <c r="H45" t="s">
        <v>86</v>
      </c>
      <c r="I45" t="s">
        <v>43</v>
      </c>
      <c r="J45" t="s">
        <v>87</v>
      </c>
      <c r="K45" t="s">
        <v>81</v>
      </c>
      <c r="L45">
        <v>24</v>
      </c>
      <c r="M45">
        <v>19200</v>
      </c>
      <c r="N45" t="s">
        <v>29</v>
      </c>
      <c r="O45" t="s">
        <v>35</v>
      </c>
      <c r="P45">
        <v>460800</v>
      </c>
    </row>
    <row r="46" spans="1:16">
      <c r="A46" t="s">
        <v>155</v>
      </c>
      <c r="B46" s="5">
        <v>46037</v>
      </c>
      <c r="C46" s="6">
        <v>46044</v>
      </c>
      <c r="D46" t="s">
        <v>33</v>
      </c>
      <c r="E46" t="s">
        <v>78</v>
      </c>
      <c r="F46" t="s">
        <v>89</v>
      </c>
      <c r="G46" t="s">
        <v>143</v>
      </c>
      <c r="H46" t="s">
        <v>111</v>
      </c>
      <c r="I46" t="s">
        <v>30</v>
      </c>
      <c r="J46" t="s">
        <v>112</v>
      </c>
      <c r="K46" t="s">
        <v>36</v>
      </c>
      <c r="L46">
        <v>5</v>
      </c>
      <c r="M46">
        <v>140</v>
      </c>
      <c r="N46" t="s">
        <v>24</v>
      </c>
      <c r="O46" t="s">
        <v>114</v>
      </c>
      <c r="P46">
        <v>700</v>
      </c>
    </row>
    <row r="47" spans="1:16">
      <c r="A47" t="s">
        <v>156</v>
      </c>
      <c r="B47" s="5">
        <v>46242</v>
      </c>
      <c r="C47" s="6">
        <v>46245</v>
      </c>
      <c r="D47" t="s">
        <v>30</v>
      </c>
      <c r="E47" t="s">
        <v>27</v>
      </c>
      <c r="F47" t="s">
        <v>22</v>
      </c>
      <c r="G47" t="s">
        <v>21</v>
      </c>
      <c r="H47" t="s">
        <v>105</v>
      </c>
      <c r="I47" t="s">
        <v>19</v>
      </c>
      <c r="J47" t="s">
        <v>106</v>
      </c>
      <c r="K47" t="s">
        <v>36</v>
      </c>
      <c r="L47">
        <v>11</v>
      </c>
      <c r="M47">
        <v>72900</v>
      </c>
      <c r="N47" t="s">
        <v>29</v>
      </c>
      <c r="O47" t="s">
        <v>35</v>
      </c>
      <c r="P47">
        <v>801900</v>
      </c>
    </row>
    <row r="48" spans="1:16">
      <c r="A48" t="s">
        <v>157</v>
      </c>
      <c r="B48" s="5">
        <v>46238</v>
      </c>
      <c r="C48" s="6">
        <v>46243</v>
      </c>
      <c r="D48" t="s">
        <v>33</v>
      </c>
      <c r="E48" t="s">
        <v>27</v>
      </c>
      <c r="F48" t="s">
        <v>89</v>
      </c>
      <c r="G48" t="s">
        <v>143</v>
      </c>
      <c r="H48" t="s">
        <v>91</v>
      </c>
      <c r="I48" t="s">
        <v>43</v>
      </c>
      <c r="J48" t="s">
        <v>92</v>
      </c>
      <c r="K48" t="s">
        <v>23</v>
      </c>
      <c r="L48">
        <v>12</v>
      </c>
      <c r="M48">
        <v>140</v>
      </c>
      <c r="N48" t="s">
        <v>29</v>
      </c>
      <c r="O48" t="s">
        <v>37</v>
      </c>
      <c r="P48">
        <v>1680</v>
      </c>
    </row>
    <row r="49" spans="1:16">
      <c r="A49" t="s">
        <v>158</v>
      </c>
      <c r="B49" s="5">
        <v>46125</v>
      </c>
      <c r="C49" s="6">
        <v>46126</v>
      </c>
      <c r="D49" t="s">
        <v>30</v>
      </c>
      <c r="E49" t="s">
        <v>20</v>
      </c>
      <c r="F49" t="s">
        <v>22</v>
      </c>
      <c r="G49" t="s">
        <v>21</v>
      </c>
      <c r="H49" t="s">
        <v>96</v>
      </c>
      <c r="I49" t="s">
        <v>33</v>
      </c>
      <c r="J49" t="s">
        <v>97</v>
      </c>
      <c r="K49" t="s">
        <v>81</v>
      </c>
      <c r="L49">
        <v>4</v>
      </c>
      <c r="M49">
        <v>52600</v>
      </c>
      <c r="N49" t="s">
        <v>29</v>
      </c>
      <c r="O49" t="s">
        <v>35</v>
      </c>
      <c r="P49">
        <v>210400</v>
      </c>
    </row>
    <row r="50" spans="1:16">
      <c r="A50" t="s">
        <v>159</v>
      </c>
      <c r="B50" s="5">
        <v>46081</v>
      </c>
      <c r="C50" s="6">
        <v>46084</v>
      </c>
      <c r="D50" t="s">
        <v>26</v>
      </c>
      <c r="E50" t="s">
        <v>31</v>
      </c>
      <c r="F50" t="s">
        <v>89</v>
      </c>
      <c r="G50" t="s">
        <v>90</v>
      </c>
      <c r="H50" t="s">
        <v>86</v>
      </c>
      <c r="I50" t="s">
        <v>26</v>
      </c>
      <c r="J50" t="s">
        <v>87</v>
      </c>
      <c r="K50" t="s">
        <v>36</v>
      </c>
      <c r="L50">
        <v>19</v>
      </c>
      <c r="M50">
        <v>80</v>
      </c>
      <c r="N50" t="s">
        <v>32</v>
      </c>
      <c r="O50" t="s">
        <v>35</v>
      </c>
      <c r="P50">
        <v>1520</v>
      </c>
    </row>
    <row r="51" spans="1:16">
      <c r="A51" t="s">
        <v>160</v>
      </c>
      <c r="B51" s="5">
        <v>46147</v>
      </c>
      <c r="C51" s="6">
        <v>46149</v>
      </c>
      <c r="D51" t="s">
        <v>43</v>
      </c>
      <c r="E51" t="s">
        <v>161</v>
      </c>
      <c r="F51" t="s">
        <v>99</v>
      </c>
      <c r="G51" t="s">
        <v>137</v>
      </c>
      <c r="H51" t="s">
        <v>86</v>
      </c>
      <c r="I51" t="s">
        <v>43</v>
      </c>
      <c r="J51" t="s">
        <v>87</v>
      </c>
      <c r="K51" t="s">
        <v>23</v>
      </c>
      <c r="L51">
        <v>12</v>
      </c>
      <c r="M51">
        <v>14500</v>
      </c>
      <c r="N51" t="s">
        <v>32</v>
      </c>
      <c r="O51" t="s">
        <v>37</v>
      </c>
      <c r="P51">
        <v>174000</v>
      </c>
    </row>
    <row r="52" spans="1:16">
      <c r="A52" t="s">
        <v>162</v>
      </c>
      <c r="B52" s="5">
        <v>46238</v>
      </c>
      <c r="C52" s="6">
        <v>46246</v>
      </c>
      <c r="D52" t="s">
        <v>33</v>
      </c>
      <c r="E52" t="s">
        <v>34</v>
      </c>
      <c r="F52" t="s">
        <v>22</v>
      </c>
      <c r="G52" t="s">
        <v>110</v>
      </c>
      <c r="H52" t="s">
        <v>91</v>
      </c>
      <c r="I52" t="s">
        <v>33</v>
      </c>
      <c r="J52" t="s">
        <v>92</v>
      </c>
      <c r="K52" t="s">
        <v>81</v>
      </c>
      <c r="L52">
        <v>5</v>
      </c>
      <c r="M52">
        <v>12600</v>
      </c>
      <c r="N52" t="s">
        <v>32</v>
      </c>
      <c r="O52" t="s">
        <v>35</v>
      </c>
      <c r="P52">
        <v>63000</v>
      </c>
    </row>
    <row r="53" spans="1:16">
      <c r="A53" t="s">
        <v>163</v>
      </c>
      <c r="B53" s="5">
        <v>46246</v>
      </c>
      <c r="C53" s="6">
        <v>46258</v>
      </c>
      <c r="D53" t="s">
        <v>19</v>
      </c>
      <c r="E53" t="s">
        <v>20</v>
      </c>
      <c r="F53" t="s">
        <v>89</v>
      </c>
      <c r="G53" t="s">
        <v>143</v>
      </c>
      <c r="H53" t="s">
        <v>86</v>
      </c>
      <c r="I53" t="s">
        <v>26</v>
      </c>
      <c r="J53" t="s">
        <v>87</v>
      </c>
      <c r="K53" t="s">
        <v>36</v>
      </c>
      <c r="L53">
        <v>15</v>
      </c>
      <c r="M53">
        <v>140</v>
      </c>
      <c r="N53" t="s">
        <v>29</v>
      </c>
      <c r="O53" t="s">
        <v>37</v>
      </c>
      <c r="P53">
        <v>2100</v>
      </c>
    </row>
    <row r="54" spans="1:16">
      <c r="A54" t="s">
        <v>164</v>
      </c>
      <c r="B54" s="5">
        <v>46276</v>
      </c>
      <c r="C54" s="6">
        <v>46282</v>
      </c>
      <c r="D54" t="s">
        <v>33</v>
      </c>
      <c r="E54" t="s">
        <v>20</v>
      </c>
      <c r="F54" t="s">
        <v>40</v>
      </c>
      <c r="G54" t="s">
        <v>39</v>
      </c>
      <c r="H54" t="s">
        <v>96</v>
      </c>
      <c r="I54" t="s">
        <v>19</v>
      </c>
      <c r="J54" t="s">
        <v>97</v>
      </c>
      <c r="K54" t="s">
        <v>36</v>
      </c>
      <c r="L54">
        <v>11</v>
      </c>
      <c r="M54">
        <v>1100</v>
      </c>
      <c r="N54" t="s">
        <v>41</v>
      </c>
      <c r="O54" t="s">
        <v>25</v>
      </c>
      <c r="P54">
        <v>12100</v>
      </c>
    </row>
    <row r="55" spans="1:16">
      <c r="A55" t="s">
        <v>165</v>
      </c>
      <c r="B55" s="5">
        <v>46120</v>
      </c>
      <c r="C55" s="6">
        <v>46122</v>
      </c>
      <c r="D55" t="s">
        <v>33</v>
      </c>
      <c r="E55" t="s">
        <v>54</v>
      </c>
      <c r="F55" t="s">
        <v>89</v>
      </c>
      <c r="G55" t="s">
        <v>133</v>
      </c>
      <c r="H55" t="s">
        <v>79</v>
      </c>
      <c r="I55" t="s">
        <v>43</v>
      </c>
      <c r="J55" t="s">
        <v>80</v>
      </c>
      <c r="K55" t="s">
        <v>23</v>
      </c>
      <c r="L55">
        <v>23</v>
      </c>
      <c r="M55">
        <v>11600</v>
      </c>
      <c r="N55" t="s">
        <v>32</v>
      </c>
      <c r="O55" t="s">
        <v>35</v>
      </c>
      <c r="P55">
        <v>266800</v>
      </c>
    </row>
    <row r="56" spans="1:16">
      <c r="A56" t="s">
        <v>166</v>
      </c>
      <c r="B56" s="5">
        <v>46070</v>
      </c>
      <c r="C56" s="6">
        <v>46075</v>
      </c>
      <c r="D56" t="s">
        <v>33</v>
      </c>
      <c r="E56" t="s">
        <v>78</v>
      </c>
      <c r="F56" t="s">
        <v>40</v>
      </c>
      <c r="G56" t="s">
        <v>102</v>
      </c>
      <c r="H56" t="s">
        <v>79</v>
      </c>
      <c r="I56" t="s">
        <v>30</v>
      </c>
      <c r="J56" t="s">
        <v>80</v>
      </c>
      <c r="K56" t="s">
        <v>36</v>
      </c>
      <c r="L56">
        <v>22</v>
      </c>
      <c r="M56">
        <v>1600</v>
      </c>
      <c r="N56" t="s">
        <v>41</v>
      </c>
      <c r="O56" t="s">
        <v>35</v>
      </c>
      <c r="P56">
        <v>35200</v>
      </c>
    </row>
    <row r="57" spans="1:16">
      <c r="A57" t="s">
        <v>167</v>
      </c>
      <c r="B57" s="5">
        <v>46203</v>
      </c>
      <c r="C57" s="6">
        <v>46215</v>
      </c>
      <c r="D57" t="s">
        <v>19</v>
      </c>
      <c r="E57" t="s">
        <v>34</v>
      </c>
      <c r="F57" t="s">
        <v>89</v>
      </c>
      <c r="G57" t="s">
        <v>143</v>
      </c>
      <c r="H57" t="s">
        <v>105</v>
      </c>
      <c r="I57" t="s">
        <v>19</v>
      </c>
      <c r="J57" t="s">
        <v>106</v>
      </c>
      <c r="K57" t="s">
        <v>23</v>
      </c>
      <c r="L57">
        <v>4</v>
      </c>
      <c r="M57">
        <v>140</v>
      </c>
      <c r="N57" t="s">
        <v>29</v>
      </c>
      <c r="O57" t="s">
        <v>35</v>
      </c>
      <c r="P57">
        <v>560</v>
      </c>
    </row>
    <row r="58" spans="1:16">
      <c r="A58" t="s">
        <v>168</v>
      </c>
      <c r="B58" s="5">
        <v>46270</v>
      </c>
      <c r="C58" s="6">
        <v>46275</v>
      </c>
      <c r="D58" t="s">
        <v>26</v>
      </c>
      <c r="E58" t="s">
        <v>20</v>
      </c>
      <c r="F58" t="s">
        <v>99</v>
      </c>
      <c r="G58" t="s">
        <v>116</v>
      </c>
      <c r="H58" t="s">
        <v>86</v>
      </c>
      <c r="I58" t="s">
        <v>19</v>
      </c>
      <c r="J58" t="s">
        <v>87</v>
      </c>
      <c r="K58" t="s">
        <v>23</v>
      </c>
      <c r="L58">
        <v>12</v>
      </c>
      <c r="M58">
        <v>8700</v>
      </c>
      <c r="N58" t="s">
        <v>29</v>
      </c>
      <c r="O58" t="s">
        <v>35</v>
      </c>
      <c r="P58">
        <v>104400</v>
      </c>
    </row>
    <row r="59" spans="1:16">
      <c r="A59" t="s">
        <v>169</v>
      </c>
      <c r="B59" s="5">
        <v>46050</v>
      </c>
      <c r="C59" s="6">
        <v>46059</v>
      </c>
      <c r="D59" t="s">
        <v>30</v>
      </c>
      <c r="E59" t="s">
        <v>78</v>
      </c>
      <c r="F59" t="s">
        <v>99</v>
      </c>
      <c r="G59" t="s">
        <v>100</v>
      </c>
      <c r="H59" t="s">
        <v>86</v>
      </c>
      <c r="I59" t="s">
        <v>33</v>
      </c>
      <c r="J59" t="s">
        <v>87</v>
      </c>
      <c r="K59" t="s">
        <v>23</v>
      </c>
      <c r="L59">
        <v>1</v>
      </c>
      <c r="M59">
        <v>2700</v>
      </c>
      <c r="N59" t="s">
        <v>41</v>
      </c>
      <c r="O59" t="s">
        <v>35</v>
      </c>
      <c r="P59">
        <v>2700</v>
      </c>
    </row>
    <row r="60" spans="1:16">
      <c r="A60" t="s">
        <v>170</v>
      </c>
      <c r="B60" s="5">
        <v>46049</v>
      </c>
      <c r="C60" s="6">
        <v>46054</v>
      </c>
      <c r="D60" t="s">
        <v>26</v>
      </c>
      <c r="E60" t="s">
        <v>27</v>
      </c>
      <c r="F60" t="s">
        <v>40</v>
      </c>
      <c r="G60" t="s">
        <v>39</v>
      </c>
      <c r="H60" t="s">
        <v>105</v>
      </c>
      <c r="I60" t="s">
        <v>33</v>
      </c>
      <c r="J60" t="s">
        <v>106</v>
      </c>
      <c r="K60" t="s">
        <v>36</v>
      </c>
      <c r="L60">
        <v>3</v>
      </c>
      <c r="M60">
        <v>2100</v>
      </c>
      <c r="N60" t="s">
        <v>24</v>
      </c>
      <c r="O60" t="s">
        <v>35</v>
      </c>
      <c r="P60">
        <v>6300</v>
      </c>
    </row>
    <row r="61" spans="1:16">
      <c r="A61" t="s">
        <v>171</v>
      </c>
      <c r="B61" s="5">
        <v>46083</v>
      </c>
      <c r="C61" s="6">
        <v>46092</v>
      </c>
      <c r="D61" t="s">
        <v>43</v>
      </c>
      <c r="E61" t="s">
        <v>31</v>
      </c>
      <c r="F61" t="s">
        <v>89</v>
      </c>
      <c r="G61" t="s">
        <v>133</v>
      </c>
      <c r="H61" t="s">
        <v>121</v>
      </c>
      <c r="I61" t="s">
        <v>43</v>
      </c>
      <c r="J61" t="s">
        <v>122</v>
      </c>
      <c r="K61" t="s">
        <v>23</v>
      </c>
      <c r="L61">
        <v>25</v>
      </c>
      <c r="M61">
        <v>8100</v>
      </c>
      <c r="N61" t="s">
        <v>32</v>
      </c>
      <c r="O61" t="s">
        <v>35</v>
      </c>
      <c r="P61">
        <v>202500</v>
      </c>
    </row>
    <row r="62" spans="1:16">
      <c r="A62" t="s">
        <v>172</v>
      </c>
      <c r="B62" s="5">
        <v>46242</v>
      </c>
      <c r="C62" s="6">
        <v>46247</v>
      </c>
      <c r="D62" t="s">
        <v>43</v>
      </c>
      <c r="E62" t="s">
        <v>78</v>
      </c>
      <c r="F62" t="s">
        <v>40</v>
      </c>
      <c r="G62" t="s">
        <v>39</v>
      </c>
      <c r="H62" t="s">
        <v>83</v>
      </c>
      <c r="I62" t="s">
        <v>26</v>
      </c>
      <c r="J62" t="s">
        <v>84</v>
      </c>
      <c r="K62" t="s">
        <v>23</v>
      </c>
      <c r="L62">
        <v>21</v>
      </c>
      <c r="M62">
        <v>6500</v>
      </c>
      <c r="N62" t="s">
        <v>29</v>
      </c>
      <c r="O62" t="s">
        <v>35</v>
      </c>
      <c r="P62">
        <v>136500</v>
      </c>
    </row>
    <row r="63" spans="1:16">
      <c r="A63" t="s">
        <v>173</v>
      </c>
      <c r="B63" s="5">
        <v>46111</v>
      </c>
      <c r="C63" s="6">
        <v>46120</v>
      </c>
      <c r="D63" t="s">
        <v>30</v>
      </c>
      <c r="E63" t="s">
        <v>27</v>
      </c>
      <c r="F63" t="s">
        <v>22</v>
      </c>
      <c r="G63" t="s">
        <v>52</v>
      </c>
      <c r="H63" t="s">
        <v>91</v>
      </c>
      <c r="I63" t="s">
        <v>33</v>
      </c>
      <c r="J63" t="s">
        <v>92</v>
      </c>
      <c r="K63" t="s">
        <v>36</v>
      </c>
      <c r="L63">
        <v>23</v>
      </c>
      <c r="M63">
        <v>14100</v>
      </c>
      <c r="N63" t="s">
        <v>32</v>
      </c>
      <c r="O63" t="s">
        <v>35</v>
      </c>
      <c r="P63">
        <v>324300</v>
      </c>
    </row>
    <row r="64" spans="1:16">
      <c r="A64" t="s">
        <v>174</v>
      </c>
      <c r="B64" s="5">
        <v>46167</v>
      </c>
      <c r="C64" s="6">
        <v>46179</v>
      </c>
      <c r="D64" t="s">
        <v>26</v>
      </c>
      <c r="E64" t="s">
        <v>78</v>
      </c>
      <c r="F64" t="s">
        <v>99</v>
      </c>
      <c r="G64" t="s">
        <v>100</v>
      </c>
      <c r="H64" t="s">
        <v>105</v>
      </c>
      <c r="I64" t="s">
        <v>30</v>
      </c>
      <c r="J64" t="s">
        <v>106</v>
      </c>
      <c r="K64" t="s">
        <v>36</v>
      </c>
      <c r="L64">
        <v>21</v>
      </c>
      <c r="M64">
        <v>7000</v>
      </c>
      <c r="N64" t="s">
        <v>29</v>
      </c>
      <c r="O64" t="s">
        <v>35</v>
      </c>
      <c r="P64">
        <v>147000</v>
      </c>
    </row>
    <row r="65" spans="1:16">
      <c r="A65" t="s">
        <v>175</v>
      </c>
      <c r="B65" s="5">
        <v>46159</v>
      </c>
      <c r="C65" s="6">
        <v>46162</v>
      </c>
      <c r="D65" t="s">
        <v>26</v>
      </c>
      <c r="E65" t="s">
        <v>20</v>
      </c>
      <c r="F65" t="s">
        <v>99</v>
      </c>
      <c r="G65" t="s">
        <v>116</v>
      </c>
      <c r="H65" t="s">
        <v>91</v>
      </c>
      <c r="I65" t="s">
        <v>19</v>
      </c>
      <c r="J65" t="s">
        <v>92</v>
      </c>
      <c r="K65" t="s">
        <v>81</v>
      </c>
      <c r="L65">
        <v>24</v>
      </c>
      <c r="M65">
        <v>17600</v>
      </c>
      <c r="N65" t="s">
        <v>41</v>
      </c>
      <c r="O65" t="s">
        <v>35</v>
      </c>
      <c r="P65">
        <v>422400</v>
      </c>
    </row>
    <row r="66" spans="1:16">
      <c r="A66" t="s">
        <v>176</v>
      </c>
      <c r="B66" s="5">
        <v>46229</v>
      </c>
      <c r="C66" s="6">
        <v>46234</v>
      </c>
      <c r="D66" t="s">
        <v>33</v>
      </c>
      <c r="E66" t="s">
        <v>27</v>
      </c>
      <c r="F66" t="s">
        <v>40</v>
      </c>
      <c r="G66" t="s">
        <v>39</v>
      </c>
      <c r="H66" t="s">
        <v>105</v>
      </c>
      <c r="I66" t="s">
        <v>43</v>
      </c>
      <c r="J66" t="s">
        <v>106</v>
      </c>
      <c r="K66" t="s">
        <v>23</v>
      </c>
      <c r="L66">
        <v>14</v>
      </c>
      <c r="M66">
        <v>5400</v>
      </c>
      <c r="N66" t="s">
        <v>41</v>
      </c>
      <c r="O66" t="s">
        <v>35</v>
      </c>
      <c r="P66">
        <v>75600</v>
      </c>
    </row>
    <row r="67" spans="1:16">
      <c r="A67" t="s">
        <v>177</v>
      </c>
      <c r="B67" s="5">
        <v>46033</v>
      </c>
      <c r="C67" s="6">
        <v>46044</v>
      </c>
      <c r="D67" t="s">
        <v>43</v>
      </c>
      <c r="E67" t="s">
        <v>27</v>
      </c>
      <c r="F67" t="s">
        <v>22</v>
      </c>
      <c r="G67" t="s">
        <v>21</v>
      </c>
      <c r="H67" t="s">
        <v>86</v>
      </c>
      <c r="I67" t="s">
        <v>30</v>
      </c>
      <c r="J67" t="s">
        <v>87</v>
      </c>
      <c r="K67" t="s">
        <v>36</v>
      </c>
      <c r="L67">
        <v>17</v>
      </c>
      <c r="M67">
        <v>51700</v>
      </c>
      <c r="N67" t="s">
        <v>32</v>
      </c>
      <c r="O67" t="s">
        <v>114</v>
      </c>
      <c r="P67">
        <v>878900</v>
      </c>
    </row>
    <row r="68" spans="1:16">
      <c r="A68" t="s">
        <v>178</v>
      </c>
      <c r="B68" s="5">
        <v>46274</v>
      </c>
      <c r="C68" s="6">
        <v>46276</v>
      </c>
      <c r="D68" t="s">
        <v>19</v>
      </c>
      <c r="E68" t="s">
        <v>54</v>
      </c>
      <c r="F68" t="s">
        <v>99</v>
      </c>
      <c r="G68" t="s">
        <v>129</v>
      </c>
      <c r="I68" t="s">
        <v>19</v>
      </c>
      <c r="J68" t="s">
        <v>106</v>
      </c>
      <c r="K68" t="s">
        <v>36</v>
      </c>
      <c r="L68">
        <v>22</v>
      </c>
      <c r="M68">
        <v>5800</v>
      </c>
      <c r="N68" t="s">
        <v>24</v>
      </c>
      <c r="O68" t="s">
        <v>25</v>
      </c>
      <c r="P68">
        <v>127600</v>
      </c>
    </row>
    <row r="69" spans="1:16">
      <c r="A69" t="s">
        <v>179</v>
      </c>
      <c r="B69" s="5">
        <v>46170</v>
      </c>
      <c r="C69" s="6">
        <v>46181</v>
      </c>
      <c r="D69" t="s">
        <v>43</v>
      </c>
      <c r="E69" t="s">
        <v>27</v>
      </c>
      <c r="F69" t="s">
        <v>89</v>
      </c>
      <c r="G69" t="s">
        <v>143</v>
      </c>
      <c r="H69" t="s">
        <v>121</v>
      </c>
      <c r="I69" t="s">
        <v>33</v>
      </c>
      <c r="J69" t="s">
        <v>122</v>
      </c>
      <c r="K69" t="s">
        <v>23</v>
      </c>
      <c r="L69">
        <v>11</v>
      </c>
      <c r="M69">
        <v>140</v>
      </c>
      <c r="N69" t="s">
        <v>41</v>
      </c>
      <c r="O69" t="s">
        <v>35</v>
      </c>
      <c r="P69">
        <v>1540</v>
      </c>
    </row>
    <row r="70" spans="1:16">
      <c r="A70" t="s">
        <v>180</v>
      </c>
      <c r="B70" s="5">
        <v>46259</v>
      </c>
      <c r="C70" s="6">
        <v>46266</v>
      </c>
      <c r="D70" t="s">
        <v>30</v>
      </c>
      <c r="E70" t="s">
        <v>31</v>
      </c>
      <c r="F70" t="s">
        <v>40</v>
      </c>
      <c r="G70" t="s">
        <v>44</v>
      </c>
      <c r="H70" t="s">
        <v>83</v>
      </c>
      <c r="I70" t="s">
        <v>19</v>
      </c>
      <c r="J70" t="s">
        <v>84</v>
      </c>
      <c r="K70" t="s">
        <v>81</v>
      </c>
      <c r="L70">
        <v>25</v>
      </c>
      <c r="M70">
        <v>2800</v>
      </c>
      <c r="N70" t="s">
        <v>32</v>
      </c>
      <c r="O70" t="s">
        <v>35</v>
      </c>
      <c r="P70">
        <v>70000</v>
      </c>
    </row>
    <row r="71" spans="1:16">
      <c r="A71" t="s">
        <v>181</v>
      </c>
      <c r="B71" s="5">
        <v>46090</v>
      </c>
      <c r="C71" s="6">
        <v>46095</v>
      </c>
      <c r="D71" t="s">
        <v>33</v>
      </c>
      <c r="E71" t="s">
        <v>27</v>
      </c>
      <c r="F71" t="s">
        <v>22</v>
      </c>
      <c r="G71" t="s">
        <v>52</v>
      </c>
      <c r="H71" t="s">
        <v>105</v>
      </c>
      <c r="I71" t="s">
        <v>26</v>
      </c>
      <c r="J71" t="s">
        <v>106</v>
      </c>
      <c r="K71" t="s">
        <v>81</v>
      </c>
      <c r="L71">
        <v>20</v>
      </c>
      <c r="M71">
        <v>14800</v>
      </c>
      <c r="N71" t="s">
        <v>29</v>
      </c>
      <c r="O71" t="s">
        <v>37</v>
      </c>
      <c r="P71">
        <v>296000</v>
      </c>
    </row>
    <row r="72" spans="1:16">
      <c r="A72" t="s">
        <v>182</v>
      </c>
      <c r="B72" s="5">
        <v>46231</v>
      </c>
      <c r="C72" s="6">
        <v>46233</v>
      </c>
      <c r="D72" t="s">
        <v>26</v>
      </c>
      <c r="E72" t="s">
        <v>54</v>
      </c>
      <c r="F72" t="s">
        <v>89</v>
      </c>
      <c r="G72" t="s">
        <v>133</v>
      </c>
      <c r="H72" t="s">
        <v>79</v>
      </c>
      <c r="I72" t="s">
        <v>26</v>
      </c>
      <c r="J72" t="s">
        <v>80</v>
      </c>
      <c r="K72" t="s">
        <v>81</v>
      </c>
      <c r="L72">
        <v>5</v>
      </c>
      <c r="M72">
        <v>12000</v>
      </c>
      <c r="N72" t="s">
        <v>32</v>
      </c>
      <c r="O72" t="s">
        <v>114</v>
      </c>
      <c r="P72">
        <v>60000</v>
      </c>
    </row>
    <row r="73" spans="1:16">
      <c r="A73" t="s">
        <v>183</v>
      </c>
      <c r="B73" s="5">
        <v>46270</v>
      </c>
      <c r="C73" s="6">
        <v>46278</v>
      </c>
      <c r="D73" t="s">
        <v>33</v>
      </c>
      <c r="E73" t="s">
        <v>31</v>
      </c>
      <c r="F73" t="s">
        <v>89</v>
      </c>
      <c r="G73" t="s">
        <v>90</v>
      </c>
      <c r="H73" t="s">
        <v>79</v>
      </c>
      <c r="I73" t="s">
        <v>30</v>
      </c>
      <c r="J73" t="s">
        <v>80</v>
      </c>
      <c r="K73" t="s">
        <v>36</v>
      </c>
      <c r="L73">
        <v>7</v>
      </c>
      <c r="M73">
        <v>180</v>
      </c>
      <c r="N73" t="s">
        <v>29</v>
      </c>
      <c r="O73" t="s">
        <v>25</v>
      </c>
      <c r="P73">
        <v>1260</v>
      </c>
    </row>
    <row r="74" spans="1:16">
      <c r="A74" t="s">
        <v>184</v>
      </c>
      <c r="B74" s="5">
        <v>46282</v>
      </c>
      <c r="C74" s="6">
        <v>46287</v>
      </c>
      <c r="D74" t="s">
        <v>19</v>
      </c>
      <c r="E74" t="s">
        <v>78</v>
      </c>
      <c r="F74" t="s">
        <v>89</v>
      </c>
      <c r="G74" t="s">
        <v>143</v>
      </c>
      <c r="H74" t="s">
        <v>83</v>
      </c>
      <c r="I74" t="s">
        <v>19</v>
      </c>
      <c r="J74" t="s">
        <v>84</v>
      </c>
      <c r="K74" t="s">
        <v>81</v>
      </c>
      <c r="L74">
        <v>19</v>
      </c>
      <c r="M74">
        <v>140</v>
      </c>
      <c r="N74" t="s">
        <v>32</v>
      </c>
      <c r="O74" t="s">
        <v>25</v>
      </c>
      <c r="P74">
        <v>2660</v>
      </c>
    </row>
    <row r="75" spans="1:16">
      <c r="A75" t="s">
        <v>185</v>
      </c>
      <c r="B75" s="5">
        <v>46193</v>
      </c>
      <c r="C75" s="6">
        <v>46202</v>
      </c>
      <c r="D75" t="s">
        <v>33</v>
      </c>
      <c r="E75" t="s">
        <v>34</v>
      </c>
      <c r="F75" t="s">
        <v>40</v>
      </c>
      <c r="G75" t="s">
        <v>102</v>
      </c>
      <c r="H75" t="s">
        <v>121</v>
      </c>
      <c r="I75" t="s">
        <v>30</v>
      </c>
      <c r="J75" t="s">
        <v>122</v>
      </c>
      <c r="K75" t="s">
        <v>81</v>
      </c>
      <c r="L75">
        <v>8</v>
      </c>
      <c r="M75">
        <v>3700</v>
      </c>
      <c r="N75" t="s">
        <v>32</v>
      </c>
      <c r="O75" t="s">
        <v>35</v>
      </c>
      <c r="P75">
        <v>29600</v>
      </c>
    </row>
    <row r="76" spans="1:16">
      <c r="A76" t="s">
        <v>186</v>
      </c>
      <c r="B76" s="5">
        <v>46265</v>
      </c>
      <c r="C76" s="6">
        <v>46277</v>
      </c>
      <c r="D76" t="s">
        <v>33</v>
      </c>
      <c r="E76" t="s">
        <v>78</v>
      </c>
      <c r="F76" t="s">
        <v>40</v>
      </c>
      <c r="G76" t="s">
        <v>44</v>
      </c>
      <c r="H76" t="s">
        <v>121</v>
      </c>
      <c r="I76" t="s">
        <v>30</v>
      </c>
      <c r="J76" t="s">
        <v>122</v>
      </c>
      <c r="K76" t="s">
        <v>36</v>
      </c>
      <c r="L76">
        <v>2</v>
      </c>
      <c r="M76">
        <v>1700</v>
      </c>
      <c r="N76" t="s">
        <v>29</v>
      </c>
      <c r="O76" t="s">
        <v>35</v>
      </c>
      <c r="P76">
        <v>3400</v>
      </c>
    </row>
    <row r="77" spans="1:16">
      <c r="A77" t="s">
        <v>187</v>
      </c>
      <c r="B77" s="5">
        <v>46074</v>
      </c>
      <c r="C77" s="6">
        <v>46083</v>
      </c>
      <c r="D77" t="s">
        <v>26</v>
      </c>
      <c r="E77" t="s">
        <v>78</v>
      </c>
      <c r="F77" t="s">
        <v>89</v>
      </c>
      <c r="G77" t="s">
        <v>133</v>
      </c>
      <c r="H77" t="s">
        <v>105</v>
      </c>
      <c r="I77" t="s">
        <v>30</v>
      </c>
      <c r="J77" t="s">
        <v>106</v>
      </c>
      <c r="K77" t="s">
        <v>36</v>
      </c>
      <c r="L77">
        <v>21</v>
      </c>
      <c r="M77">
        <v>10600</v>
      </c>
      <c r="N77" t="s">
        <v>29</v>
      </c>
      <c r="O77" t="s">
        <v>35</v>
      </c>
      <c r="P77">
        <v>222600</v>
      </c>
    </row>
    <row r="78" spans="1:16">
      <c r="A78" t="s">
        <v>188</v>
      </c>
      <c r="B78" s="5">
        <v>46226</v>
      </c>
      <c r="C78" s="6">
        <v>46237</v>
      </c>
      <c r="D78" t="s">
        <v>19</v>
      </c>
      <c r="E78" t="s">
        <v>78</v>
      </c>
      <c r="F78" t="s">
        <v>89</v>
      </c>
      <c r="G78" t="s">
        <v>90</v>
      </c>
      <c r="H78" t="s">
        <v>91</v>
      </c>
      <c r="I78" t="s">
        <v>43</v>
      </c>
      <c r="J78" t="s">
        <v>92</v>
      </c>
      <c r="K78" t="s">
        <v>36</v>
      </c>
      <c r="L78">
        <v>11</v>
      </c>
      <c r="M78">
        <v>280</v>
      </c>
      <c r="N78" t="s">
        <v>32</v>
      </c>
      <c r="O78" t="s">
        <v>25</v>
      </c>
      <c r="P78">
        <v>3080</v>
      </c>
    </row>
    <row r="79" spans="1:16">
      <c r="A79" t="s">
        <v>189</v>
      </c>
      <c r="B79" s="5">
        <v>46170</v>
      </c>
      <c r="C79" s="6">
        <v>46174</v>
      </c>
      <c r="D79" t="s">
        <v>33</v>
      </c>
      <c r="E79" t="s">
        <v>27</v>
      </c>
      <c r="F79" t="s">
        <v>22</v>
      </c>
      <c r="G79" t="s">
        <v>21</v>
      </c>
      <c r="H79" t="s">
        <v>91</v>
      </c>
      <c r="I79" t="s">
        <v>26</v>
      </c>
      <c r="J79" t="s">
        <v>92</v>
      </c>
      <c r="K79" t="s">
        <v>36</v>
      </c>
      <c r="L79">
        <v>6</v>
      </c>
      <c r="M79">
        <v>52000</v>
      </c>
      <c r="N79" t="s">
        <v>41</v>
      </c>
      <c r="O79" t="s">
        <v>114</v>
      </c>
      <c r="P79">
        <v>312000</v>
      </c>
    </row>
    <row r="80" spans="1:16">
      <c r="A80" t="s">
        <v>190</v>
      </c>
      <c r="B80" s="5">
        <v>46173</v>
      </c>
      <c r="C80" s="6">
        <v>46179</v>
      </c>
      <c r="D80" t="s">
        <v>33</v>
      </c>
      <c r="E80" t="s">
        <v>20</v>
      </c>
      <c r="F80" t="s">
        <v>22</v>
      </c>
      <c r="G80" t="s">
        <v>110</v>
      </c>
      <c r="H80" t="s">
        <v>111</v>
      </c>
      <c r="I80" t="s">
        <v>30</v>
      </c>
      <c r="J80" t="s">
        <v>112</v>
      </c>
      <c r="K80" t="s">
        <v>81</v>
      </c>
      <c r="L80">
        <v>14</v>
      </c>
      <c r="M80">
        <v>14800</v>
      </c>
      <c r="N80" t="s">
        <v>29</v>
      </c>
      <c r="O80" t="s">
        <v>35</v>
      </c>
      <c r="P80">
        <v>207200</v>
      </c>
    </row>
    <row r="81" spans="1:16">
      <c r="A81" t="s">
        <v>191</v>
      </c>
      <c r="B81" s="5">
        <v>46146</v>
      </c>
      <c r="C81" s="6">
        <v>46154</v>
      </c>
      <c r="D81" t="s">
        <v>30</v>
      </c>
      <c r="E81" t="s">
        <v>54</v>
      </c>
      <c r="F81" t="s">
        <v>22</v>
      </c>
      <c r="G81" t="s">
        <v>28</v>
      </c>
      <c r="H81" t="s">
        <v>96</v>
      </c>
      <c r="I81" t="s">
        <v>19</v>
      </c>
      <c r="J81" t="s">
        <v>97</v>
      </c>
      <c r="K81" t="s">
        <v>36</v>
      </c>
      <c r="L81">
        <v>9</v>
      </c>
      <c r="M81">
        <v>22800</v>
      </c>
      <c r="N81" t="s">
        <v>24</v>
      </c>
      <c r="O81" t="s">
        <v>25</v>
      </c>
      <c r="P81">
        <v>205200</v>
      </c>
    </row>
    <row r="82" spans="1:16">
      <c r="A82" t="s">
        <v>192</v>
      </c>
      <c r="B82" s="5">
        <v>46103</v>
      </c>
      <c r="C82" s="6">
        <v>46105</v>
      </c>
      <c r="D82" t="s">
        <v>19</v>
      </c>
      <c r="E82" t="s">
        <v>31</v>
      </c>
      <c r="F82" t="s">
        <v>40</v>
      </c>
      <c r="G82" t="s">
        <v>39</v>
      </c>
      <c r="H82" t="s">
        <v>105</v>
      </c>
      <c r="I82" t="s">
        <v>19</v>
      </c>
      <c r="J82" t="s">
        <v>106</v>
      </c>
      <c r="K82" t="s">
        <v>81</v>
      </c>
      <c r="L82">
        <v>14</v>
      </c>
      <c r="M82">
        <v>5300</v>
      </c>
      <c r="N82" t="s">
        <v>41</v>
      </c>
      <c r="O82" t="s">
        <v>35</v>
      </c>
      <c r="P82">
        <v>74200</v>
      </c>
    </row>
    <row r="83" spans="1:16">
      <c r="A83" t="s">
        <v>193</v>
      </c>
      <c r="B83" s="5">
        <v>46270</v>
      </c>
      <c r="C83" s="6">
        <v>46272</v>
      </c>
      <c r="D83" t="s">
        <v>33</v>
      </c>
      <c r="E83" t="s">
        <v>31</v>
      </c>
      <c r="F83" t="s">
        <v>89</v>
      </c>
      <c r="G83" t="s">
        <v>95</v>
      </c>
      <c r="H83" t="s">
        <v>79</v>
      </c>
      <c r="I83" t="s">
        <v>19</v>
      </c>
      <c r="J83" t="s">
        <v>80</v>
      </c>
      <c r="K83" t="s">
        <v>81</v>
      </c>
      <c r="L83">
        <v>10</v>
      </c>
      <c r="M83">
        <v>16800</v>
      </c>
      <c r="N83" t="s">
        <v>41</v>
      </c>
      <c r="O83" t="s">
        <v>35</v>
      </c>
      <c r="P83">
        <v>168000</v>
      </c>
    </row>
    <row r="84" spans="1:16">
      <c r="A84" t="s">
        <v>194</v>
      </c>
      <c r="B84" s="5">
        <v>46048</v>
      </c>
      <c r="C84" s="6">
        <v>46058</v>
      </c>
      <c r="D84" t="s">
        <v>19</v>
      </c>
      <c r="E84" t="s">
        <v>20</v>
      </c>
      <c r="F84" t="s">
        <v>40</v>
      </c>
      <c r="G84" t="s">
        <v>39</v>
      </c>
      <c r="H84" t="s">
        <v>105</v>
      </c>
      <c r="I84" t="s">
        <v>43</v>
      </c>
      <c r="J84" t="s">
        <v>106</v>
      </c>
      <c r="K84" t="s">
        <v>36</v>
      </c>
      <c r="L84">
        <v>8</v>
      </c>
      <c r="M84">
        <v>1000</v>
      </c>
      <c r="O84" t="s">
        <v>35</v>
      </c>
      <c r="P84">
        <v>8000</v>
      </c>
    </row>
    <row r="85" spans="1:16">
      <c r="A85" t="s">
        <v>195</v>
      </c>
      <c r="B85" s="5">
        <v>46043</v>
      </c>
      <c r="C85" s="6">
        <v>46048</v>
      </c>
      <c r="D85" t="s">
        <v>26</v>
      </c>
      <c r="E85" t="s">
        <v>31</v>
      </c>
      <c r="F85" t="s">
        <v>99</v>
      </c>
      <c r="G85" t="s">
        <v>137</v>
      </c>
      <c r="H85" t="s">
        <v>105</v>
      </c>
      <c r="I85" t="s">
        <v>19</v>
      </c>
      <c r="J85" t="s">
        <v>106</v>
      </c>
      <c r="K85" t="s">
        <v>81</v>
      </c>
      <c r="L85">
        <v>5</v>
      </c>
      <c r="M85">
        <v>15000</v>
      </c>
      <c r="N85" t="s">
        <v>24</v>
      </c>
      <c r="O85" t="s">
        <v>114</v>
      </c>
      <c r="P85">
        <v>75000</v>
      </c>
    </row>
    <row r="86" spans="1:16">
      <c r="A86" t="s">
        <v>196</v>
      </c>
      <c r="B86" s="5">
        <v>46125</v>
      </c>
      <c r="C86" s="6">
        <v>46128</v>
      </c>
      <c r="D86" t="s">
        <v>43</v>
      </c>
      <c r="E86" t="s">
        <v>31</v>
      </c>
      <c r="F86" t="s">
        <v>89</v>
      </c>
      <c r="G86" t="s">
        <v>143</v>
      </c>
      <c r="H86" t="s">
        <v>111</v>
      </c>
      <c r="I86" t="s">
        <v>19</v>
      </c>
      <c r="J86" t="s">
        <v>112</v>
      </c>
      <c r="K86" t="s">
        <v>23</v>
      </c>
      <c r="L86">
        <v>9</v>
      </c>
      <c r="M86">
        <v>40</v>
      </c>
      <c r="N86" t="s">
        <v>32</v>
      </c>
      <c r="O86" t="s">
        <v>114</v>
      </c>
      <c r="P86">
        <v>360</v>
      </c>
    </row>
    <row r="87" spans="1:16">
      <c r="A87" t="s">
        <v>197</v>
      </c>
      <c r="B87" s="5">
        <v>46262</v>
      </c>
      <c r="C87" s="6">
        <v>46264</v>
      </c>
      <c r="D87" t="s">
        <v>30</v>
      </c>
      <c r="E87" t="s">
        <v>78</v>
      </c>
      <c r="F87" t="s">
        <v>89</v>
      </c>
      <c r="G87" t="s">
        <v>90</v>
      </c>
      <c r="H87" t="s">
        <v>96</v>
      </c>
      <c r="I87" t="s">
        <v>33</v>
      </c>
      <c r="J87" t="s">
        <v>97</v>
      </c>
      <c r="K87" t="s">
        <v>81</v>
      </c>
      <c r="L87">
        <v>12</v>
      </c>
      <c r="M87">
        <v>80</v>
      </c>
      <c r="N87" t="s">
        <v>24</v>
      </c>
      <c r="O87" t="s">
        <v>37</v>
      </c>
      <c r="P87">
        <v>960</v>
      </c>
    </row>
    <row r="88" spans="1:16">
      <c r="A88" t="s">
        <v>198</v>
      </c>
      <c r="B88" s="5">
        <v>46086</v>
      </c>
      <c r="C88" s="6">
        <v>46094</v>
      </c>
      <c r="D88" t="s">
        <v>19</v>
      </c>
      <c r="E88" t="s">
        <v>31</v>
      </c>
      <c r="F88" t="s">
        <v>22</v>
      </c>
      <c r="G88" t="s">
        <v>110</v>
      </c>
      <c r="H88" t="s">
        <v>111</v>
      </c>
      <c r="I88" t="s">
        <v>33</v>
      </c>
      <c r="J88" t="s">
        <v>112</v>
      </c>
      <c r="K88" t="s">
        <v>81</v>
      </c>
      <c r="L88">
        <v>12</v>
      </c>
      <c r="M88">
        <v>39400</v>
      </c>
      <c r="N88" t="s">
        <v>24</v>
      </c>
      <c r="O88" t="s">
        <v>37</v>
      </c>
      <c r="P88">
        <v>472800</v>
      </c>
    </row>
    <row r="89" spans="1:16">
      <c r="A89" t="s">
        <v>199</v>
      </c>
      <c r="B89" s="5">
        <v>46190</v>
      </c>
      <c r="C89" s="6">
        <v>46200</v>
      </c>
      <c r="D89" t="s">
        <v>26</v>
      </c>
      <c r="E89" t="s">
        <v>78</v>
      </c>
      <c r="F89" t="s">
        <v>40</v>
      </c>
      <c r="G89" t="s">
        <v>44</v>
      </c>
      <c r="H89" t="s">
        <v>79</v>
      </c>
      <c r="I89" t="s">
        <v>33</v>
      </c>
      <c r="J89" t="s">
        <v>80</v>
      </c>
      <c r="K89" t="s">
        <v>81</v>
      </c>
      <c r="L89">
        <v>10</v>
      </c>
      <c r="M89">
        <v>2600</v>
      </c>
      <c r="N89" t="s">
        <v>32</v>
      </c>
      <c r="O89" t="s">
        <v>35</v>
      </c>
      <c r="P89">
        <v>26000</v>
      </c>
    </row>
    <row r="90" spans="1:16">
      <c r="A90" t="s">
        <v>200</v>
      </c>
      <c r="B90" s="5">
        <v>46275</v>
      </c>
      <c r="C90" s="6">
        <v>46277</v>
      </c>
      <c r="D90" t="s">
        <v>30</v>
      </c>
      <c r="E90" t="s">
        <v>31</v>
      </c>
      <c r="F90" t="s">
        <v>22</v>
      </c>
      <c r="G90" t="s">
        <v>21</v>
      </c>
      <c r="H90" t="s">
        <v>91</v>
      </c>
      <c r="I90" t="s">
        <v>30</v>
      </c>
      <c r="J90" t="s">
        <v>92</v>
      </c>
      <c r="K90" t="s">
        <v>36</v>
      </c>
      <c r="L90">
        <v>15</v>
      </c>
      <c r="M90">
        <v>55500</v>
      </c>
      <c r="N90" t="s">
        <v>41</v>
      </c>
      <c r="O90" t="s">
        <v>37</v>
      </c>
      <c r="P90">
        <v>832500</v>
      </c>
    </row>
    <row r="91" spans="1:16">
      <c r="A91" t="s">
        <v>201</v>
      </c>
      <c r="B91" s="5">
        <v>46073</v>
      </c>
      <c r="C91" s="6">
        <v>46081</v>
      </c>
      <c r="D91" t="s">
        <v>19</v>
      </c>
      <c r="E91" t="s">
        <v>27</v>
      </c>
      <c r="F91" t="s">
        <v>40</v>
      </c>
      <c r="G91" t="s">
        <v>47</v>
      </c>
      <c r="H91" t="s">
        <v>121</v>
      </c>
      <c r="I91" t="s">
        <v>19</v>
      </c>
      <c r="J91" t="s">
        <v>122</v>
      </c>
      <c r="K91" t="s">
        <v>23</v>
      </c>
      <c r="L91">
        <v>15</v>
      </c>
      <c r="M91">
        <v>1700</v>
      </c>
      <c r="N91" t="s">
        <v>32</v>
      </c>
      <c r="O91" t="s">
        <v>114</v>
      </c>
      <c r="P91">
        <v>25500</v>
      </c>
    </row>
    <row r="92" spans="1:16">
      <c r="A92" t="s">
        <v>202</v>
      </c>
      <c r="B92" s="5">
        <v>46211</v>
      </c>
      <c r="C92" s="6">
        <v>46220</v>
      </c>
      <c r="D92" t="s">
        <v>26</v>
      </c>
      <c r="E92" t="s">
        <v>54</v>
      </c>
      <c r="F92" t="s">
        <v>89</v>
      </c>
      <c r="G92" t="s">
        <v>133</v>
      </c>
      <c r="H92" t="s">
        <v>111</v>
      </c>
      <c r="I92" t="s">
        <v>19</v>
      </c>
      <c r="J92" t="s">
        <v>112</v>
      </c>
      <c r="K92" t="s">
        <v>23</v>
      </c>
      <c r="L92">
        <v>4</v>
      </c>
      <c r="M92">
        <v>13700</v>
      </c>
      <c r="N92" t="s">
        <v>32</v>
      </c>
      <c r="O92" t="s">
        <v>35</v>
      </c>
      <c r="P92">
        <v>54800</v>
      </c>
    </row>
    <row r="93" spans="1:16">
      <c r="A93" t="s">
        <v>203</v>
      </c>
      <c r="B93" s="5">
        <v>46193</v>
      </c>
      <c r="C93" s="6">
        <v>46197</v>
      </c>
      <c r="D93" t="s">
        <v>43</v>
      </c>
      <c r="E93" t="s">
        <v>20</v>
      </c>
      <c r="F93" t="s">
        <v>99</v>
      </c>
      <c r="G93" t="s">
        <v>137</v>
      </c>
      <c r="H93" t="s">
        <v>96</v>
      </c>
      <c r="I93" t="s">
        <v>26</v>
      </c>
      <c r="J93" t="s">
        <v>97</v>
      </c>
      <c r="K93" t="s">
        <v>81</v>
      </c>
      <c r="L93">
        <v>7</v>
      </c>
      <c r="M93">
        <v>7600</v>
      </c>
      <c r="N93" t="s">
        <v>29</v>
      </c>
      <c r="O93" t="s">
        <v>25</v>
      </c>
      <c r="P93">
        <v>53200</v>
      </c>
    </row>
    <row r="94" spans="1:16">
      <c r="A94" t="s">
        <v>204</v>
      </c>
      <c r="B94" s="5">
        <v>46098</v>
      </c>
      <c r="C94" s="6">
        <v>46108</v>
      </c>
      <c r="D94" t="s">
        <v>19</v>
      </c>
      <c r="E94" t="s">
        <v>20</v>
      </c>
      <c r="F94" t="s">
        <v>99</v>
      </c>
      <c r="G94" t="s">
        <v>100</v>
      </c>
      <c r="H94" t="s">
        <v>83</v>
      </c>
      <c r="I94" t="s">
        <v>30</v>
      </c>
      <c r="J94" t="s">
        <v>84</v>
      </c>
      <c r="K94" t="s">
        <v>81</v>
      </c>
      <c r="L94">
        <v>9</v>
      </c>
      <c r="M94">
        <v>7400</v>
      </c>
      <c r="N94" t="s">
        <v>29</v>
      </c>
      <c r="O94" t="s">
        <v>35</v>
      </c>
      <c r="P94">
        <v>66600</v>
      </c>
    </row>
    <row r="95" spans="1:16">
      <c r="A95" t="s">
        <v>205</v>
      </c>
      <c r="B95" s="5">
        <v>46206</v>
      </c>
      <c r="C95" s="6">
        <v>46210</v>
      </c>
      <c r="D95" t="s">
        <v>26</v>
      </c>
      <c r="E95" t="s">
        <v>20</v>
      </c>
      <c r="F95" t="s">
        <v>22</v>
      </c>
      <c r="G95" t="s">
        <v>52</v>
      </c>
      <c r="H95" t="s">
        <v>111</v>
      </c>
      <c r="I95" t="s">
        <v>19</v>
      </c>
      <c r="J95" t="s">
        <v>112</v>
      </c>
      <c r="K95" t="s">
        <v>23</v>
      </c>
      <c r="L95">
        <v>5</v>
      </c>
      <c r="M95">
        <v>8300</v>
      </c>
      <c r="N95" t="s">
        <v>32</v>
      </c>
      <c r="O95" t="s">
        <v>35</v>
      </c>
      <c r="P95">
        <v>41500</v>
      </c>
    </row>
    <row r="96" spans="1:16">
      <c r="A96" t="s">
        <v>206</v>
      </c>
      <c r="B96" s="5">
        <v>46208</v>
      </c>
      <c r="C96" s="6">
        <v>46217</v>
      </c>
      <c r="D96" t="s">
        <v>33</v>
      </c>
      <c r="E96" t="s">
        <v>31</v>
      </c>
      <c r="F96" t="s">
        <v>22</v>
      </c>
      <c r="G96" t="s">
        <v>28</v>
      </c>
      <c r="H96" t="s">
        <v>91</v>
      </c>
      <c r="I96" t="s">
        <v>30</v>
      </c>
      <c r="J96" t="s">
        <v>92</v>
      </c>
      <c r="K96" t="s">
        <v>81</v>
      </c>
      <c r="L96">
        <v>2</v>
      </c>
      <c r="M96">
        <v>18400</v>
      </c>
      <c r="N96" t="s">
        <v>41</v>
      </c>
      <c r="O96" t="s">
        <v>35</v>
      </c>
      <c r="P96">
        <v>36800</v>
      </c>
    </row>
    <row r="97" spans="1:16">
      <c r="A97" t="s">
        <v>207</v>
      </c>
      <c r="B97" s="5">
        <v>46228</v>
      </c>
      <c r="C97" s="6">
        <v>46235</v>
      </c>
      <c r="D97" t="s">
        <v>33</v>
      </c>
      <c r="E97" t="s">
        <v>78</v>
      </c>
      <c r="F97" t="s">
        <v>22</v>
      </c>
      <c r="G97" t="s">
        <v>21</v>
      </c>
      <c r="H97" t="s">
        <v>91</v>
      </c>
      <c r="I97" t="s">
        <v>33</v>
      </c>
      <c r="J97" t="s">
        <v>92</v>
      </c>
      <c r="K97" t="s">
        <v>23</v>
      </c>
      <c r="L97">
        <v>3</v>
      </c>
      <c r="M97">
        <v>64500</v>
      </c>
      <c r="N97" t="s">
        <v>41</v>
      </c>
      <c r="O97" t="s">
        <v>35</v>
      </c>
      <c r="P97">
        <v>193500</v>
      </c>
    </row>
    <row r="98" spans="1:16">
      <c r="A98" t="s">
        <v>208</v>
      </c>
      <c r="B98" s="5">
        <v>46189</v>
      </c>
      <c r="C98" s="6">
        <v>46196</v>
      </c>
      <c r="D98" t="s">
        <v>33</v>
      </c>
      <c r="E98" t="s">
        <v>31</v>
      </c>
      <c r="F98" t="s">
        <v>22</v>
      </c>
      <c r="G98" t="s">
        <v>52</v>
      </c>
      <c r="H98" t="s">
        <v>86</v>
      </c>
      <c r="I98" t="s">
        <v>43</v>
      </c>
      <c r="J98" t="s">
        <v>87</v>
      </c>
      <c r="K98" t="s">
        <v>36</v>
      </c>
      <c r="L98">
        <v>4</v>
      </c>
      <c r="M98">
        <v>15000</v>
      </c>
      <c r="N98" t="s">
        <v>24</v>
      </c>
      <c r="O98" t="s">
        <v>25</v>
      </c>
      <c r="P98">
        <v>60000</v>
      </c>
    </row>
    <row r="99" spans="1:16">
      <c r="A99" t="s">
        <v>209</v>
      </c>
      <c r="B99" s="5">
        <v>46139</v>
      </c>
      <c r="C99" s="6">
        <v>46146</v>
      </c>
      <c r="D99" t="s">
        <v>33</v>
      </c>
      <c r="E99" t="s">
        <v>54</v>
      </c>
      <c r="F99" t="s">
        <v>99</v>
      </c>
      <c r="G99" t="s">
        <v>129</v>
      </c>
      <c r="H99" t="s">
        <v>111</v>
      </c>
      <c r="I99" t="s">
        <v>33</v>
      </c>
      <c r="J99" t="s">
        <v>112</v>
      </c>
      <c r="K99" t="s">
        <v>81</v>
      </c>
      <c r="L99">
        <v>4</v>
      </c>
      <c r="M99">
        <v>4600</v>
      </c>
      <c r="N99" t="s">
        <v>41</v>
      </c>
      <c r="O99" t="s">
        <v>35</v>
      </c>
      <c r="P99">
        <v>18400</v>
      </c>
    </row>
    <row r="100" spans="1:16">
      <c r="A100" t="s">
        <v>210</v>
      </c>
      <c r="B100" s="5">
        <v>46265</v>
      </c>
      <c r="C100" s="6">
        <v>46267</v>
      </c>
      <c r="D100" t="s">
        <v>26</v>
      </c>
      <c r="E100" t="s">
        <v>27</v>
      </c>
      <c r="F100" t="s">
        <v>89</v>
      </c>
      <c r="G100" t="s">
        <v>90</v>
      </c>
      <c r="H100" t="s">
        <v>91</v>
      </c>
      <c r="I100" t="s">
        <v>33</v>
      </c>
      <c r="J100" t="s">
        <v>92</v>
      </c>
      <c r="K100" t="s">
        <v>23</v>
      </c>
      <c r="L100">
        <v>24</v>
      </c>
      <c r="M100">
        <v>80</v>
      </c>
      <c r="N100" t="s">
        <v>41</v>
      </c>
      <c r="O100" t="s">
        <v>25</v>
      </c>
      <c r="P100">
        <v>1920</v>
      </c>
    </row>
    <row r="101" spans="1:16">
      <c r="A101" t="s">
        <v>211</v>
      </c>
      <c r="B101" s="5">
        <v>46233</v>
      </c>
      <c r="C101" s="6">
        <v>46239</v>
      </c>
      <c r="D101" t="s">
        <v>26</v>
      </c>
      <c r="E101" t="s">
        <v>34</v>
      </c>
      <c r="F101" t="s">
        <v>22</v>
      </c>
      <c r="G101" t="s">
        <v>110</v>
      </c>
      <c r="H101" t="s">
        <v>121</v>
      </c>
      <c r="I101" t="s">
        <v>43</v>
      </c>
      <c r="J101" t="s">
        <v>122</v>
      </c>
      <c r="K101" t="s">
        <v>36</v>
      </c>
      <c r="L101">
        <v>12</v>
      </c>
      <c r="M101">
        <v>18200</v>
      </c>
      <c r="N101" t="s">
        <v>24</v>
      </c>
      <c r="O101" t="s">
        <v>35</v>
      </c>
      <c r="P101">
        <v>218400</v>
      </c>
    </row>
    <row r="102" spans="1:16">
      <c r="A102" t="s">
        <v>212</v>
      </c>
      <c r="B102" s="5">
        <v>46269</v>
      </c>
      <c r="C102" s="6">
        <v>46273</v>
      </c>
      <c r="D102" t="s">
        <v>19</v>
      </c>
      <c r="E102" t="s">
        <v>31</v>
      </c>
      <c r="F102" t="s">
        <v>99</v>
      </c>
      <c r="G102" t="s">
        <v>116</v>
      </c>
      <c r="H102" t="s">
        <v>91</v>
      </c>
      <c r="I102" t="s">
        <v>19</v>
      </c>
      <c r="J102" t="s">
        <v>92</v>
      </c>
      <c r="K102" t="s">
        <v>23</v>
      </c>
      <c r="L102">
        <v>25</v>
      </c>
      <c r="M102">
        <v>14400</v>
      </c>
      <c r="N102" t="s">
        <v>41</v>
      </c>
      <c r="O102" t="s">
        <v>35</v>
      </c>
      <c r="P102">
        <v>360000</v>
      </c>
    </row>
    <row r="103" spans="1:16">
      <c r="A103" t="s">
        <v>213</v>
      </c>
      <c r="B103" s="5">
        <v>46159</v>
      </c>
      <c r="C103" s="6">
        <v>46160</v>
      </c>
      <c r="D103" t="s">
        <v>214</v>
      </c>
      <c r="E103" t="s">
        <v>78</v>
      </c>
      <c r="F103" t="s">
        <v>40</v>
      </c>
      <c r="G103" t="s">
        <v>44</v>
      </c>
      <c r="H103" t="s">
        <v>96</v>
      </c>
      <c r="I103" t="s">
        <v>19</v>
      </c>
      <c r="J103" t="s">
        <v>97</v>
      </c>
      <c r="K103" t="s">
        <v>36</v>
      </c>
      <c r="L103">
        <v>12</v>
      </c>
      <c r="M103">
        <v>2600</v>
      </c>
      <c r="N103" t="s">
        <v>24</v>
      </c>
      <c r="O103" t="s">
        <v>35</v>
      </c>
      <c r="P103">
        <v>31200</v>
      </c>
    </row>
    <row r="104" spans="1:16">
      <c r="A104" t="s">
        <v>215</v>
      </c>
      <c r="B104" s="5">
        <v>46095</v>
      </c>
      <c r="C104" s="6">
        <v>46107</v>
      </c>
      <c r="D104" t="s">
        <v>26</v>
      </c>
      <c r="E104" t="s">
        <v>78</v>
      </c>
      <c r="F104" t="s">
        <v>99</v>
      </c>
      <c r="G104" t="s">
        <v>129</v>
      </c>
      <c r="H104" t="s">
        <v>83</v>
      </c>
      <c r="I104" t="s">
        <v>43</v>
      </c>
      <c r="J104" t="s">
        <v>84</v>
      </c>
      <c r="K104" t="s">
        <v>23</v>
      </c>
      <c r="L104">
        <v>13</v>
      </c>
      <c r="M104">
        <v>2200</v>
      </c>
      <c r="N104" t="s">
        <v>32</v>
      </c>
      <c r="O104" t="s">
        <v>35</v>
      </c>
      <c r="P104">
        <v>28600</v>
      </c>
    </row>
    <row r="105" spans="1:16">
      <c r="A105" t="s">
        <v>216</v>
      </c>
      <c r="B105" s="5">
        <v>46189</v>
      </c>
      <c r="C105" s="6">
        <v>46199</v>
      </c>
      <c r="D105" t="s">
        <v>26</v>
      </c>
      <c r="E105" t="s">
        <v>20</v>
      </c>
      <c r="F105" t="s">
        <v>99</v>
      </c>
      <c r="G105" t="s">
        <v>100</v>
      </c>
      <c r="H105" t="s">
        <v>91</v>
      </c>
      <c r="I105" t="s">
        <v>30</v>
      </c>
      <c r="J105" t="s">
        <v>92</v>
      </c>
      <c r="K105" t="s">
        <v>81</v>
      </c>
      <c r="L105">
        <v>2</v>
      </c>
      <c r="M105">
        <v>4400</v>
      </c>
      <c r="N105" t="s">
        <v>24</v>
      </c>
      <c r="O105" t="s">
        <v>35</v>
      </c>
      <c r="P105">
        <v>8800</v>
      </c>
    </row>
    <row r="106" spans="1:16">
      <c r="A106" t="s">
        <v>217</v>
      </c>
      <c r="B106" s="5">
        <v>46249</v>
      </c>
      <c r="C106" s="6">
        <v>46256</v>
      </c>
      <c r="D106" t="s">
        <v>30</v>
      </c>
      <c r="E106" t="s">
        <v>31</v>
      </c>
      <c r="F106" t="s">
        <v>40</v>
      </c>
      <c r="G106" t="s">
        <v>102</v>
      </c>
      <c r="H106" t="s">
        <v>86</v>
      </c>
      <c r="I106" t="s">
        <v>26</v>
      </c>
      <c r="J106" t="s">
        <v>87</v>
      </c>
      <c r="K106" t="s">
        <v>36</v>
      </c>
      <c r="L106">
        <v>14</v>
      </c>
      <c r="M106">
        <v>5300</v>
      </c>
      <c r="N106" t="s">
        <v>24</v>
      </c>
      <c r="O106" t="s">
        <v>35</v>
      </c>
      <c r="P106">
        <v>74200</v>
      </c>
    </row>
    <row r="107" spans="1:16">
      <c r="A107" t="s">
        <v>218</v>
      </c>
      <c r="B107" s="5">
        <v>46135</v>
      </c>
      <c r="C107" s="6">
        <v>46142</v>
      </c>
      <c r="D107" t="s">
        <v>26</v>
      </c>
      <c r="E107" t="s">
        <v>20</v>
      </c>
      <c r="F107" t="s">
        <v>40</v>
      </c>
      <c r="G107" t="s">
        <v>39</v>
      </c>
      <c r="H107" t="s">
        <v>83</v>
      </c>
      <c r="I107" t="s">
        <v>19</v>
      </c>
      <c r="J107" t="s">
        <v>84</v>
      </c>
      <c r="K107" t="s">
        <v>23</v>
      </c>
      <c r="L107">
        <v>25</v>
      </c>
      <c r="M107">
        <v>1200</v>
      </c>
      <c r="N107" t="s">
        <v>29</v>
      </c>
      <c r="O107" t="s">
        <v>37</v>
      </c>
      <c r="P107">
        <v>30000</v>
      </c>
    </row>
    <row r="108" spans="1:16">
      <c r="A108" t="s">
        <v>219</v>
      </c>
      <c r="B108" s="5">
        <v>46026</v>
      </c>
      <c r="C108" s="6">
        <v>46034</v>
      </c>
      <c r="D108" t="s">
        <v>30</v>
      </c>
      <c r="E108" t="s">
        <v>20</v>
      </c>
      <c r="F108" t="s">
        <v>89</v>
      </c>
      <c r="G108" t="s">
        <v>90</v>
      </c>
      <c r="H108" t="s">
        <v>121</v>
      </c>
      <c r="I108" t="s">
        <v>33</v>
      </c>
      <c r="J108" t="s">
        <v>122</v>
      </c>
      <c r="K108" t="s">
        <v>81</v>
      </c>
      <c r="L108">
        <v>23</v>
      </c>
      <c r="M108">
        <v>80</v>
      </c>
      <c r="N108" t="s">
        <v>29</v>
      </c>
      <c r="O108" t="s">
        <v>35</v>
      </c>
      <c r="P108">
        <v>1840</v>
      </c>
    </row>
    <row r="109" spans="1:16">
      <c r="A109" t="s">
        <v>220</v>
      </c>
      <c r="B109" s="5">
        <v>46044</v>
      </c>
      <c r="C109" s="6">
        <v>46051</v>
      </c>
      <c r="D109" t="s">
        <v>33</v>
      </c>
      <c r="E109" t="s">
        <v>27</v>
      </c>
      <c r="F109" t="s">
        <v>89</v>
      </c>
      <c r="G109" t="s">
        <v>133</v>
      </c>
      <c r="H109" t="s">
        <v>83</v>
      </c>
      <c r="I109" t="s">
        <v>19</v>
      </c>
      <c r="J109" t="s">
        <v>84</v>
      </c>
      <c r="K109" t="s">
        <v>81</v>
      </c>
      <c r="L109">
        <v>14</v>
      </c>
      <c r="M109">
        <v>10000</v>
      </c>
      <c r="N109" t="s">
        <v>32</v>
      </c>
      <c r="O109" t="s">
        <v>37</v>
      </c>
      <c r="P109">
        <v>140000</v>
      </c>
    </row>
    <row r="110" spans="1:16">
      <c r="A110" t="s">
        <v>221</v>
      </c>
      <c r="B110" s="5">
        <v>46230</v>
      </c>
      <c r="C110" s="6">
        <v>46231</v>
      </c>
      <c r="D110" t="s">
        <v>30</v>
      </c>
      <c r="E110" t="s">
        <v>31</v>
      </c>
      <c r="F110" t="s">
        <v>40</v>
      </c>
      <c r="G110" t="s">
        <v>39</v>
      </c>
      <c r="H110" t="s">
        <v>111</v>
      </c>
      <c r="I110" t="s">
        <v>33</v>
      </c>
      <c r="J110" t="s">
        <v>112</v>
      </c>
      <c r="K110" t="s">
        <v>81</v>
      </c>
      <c r="L110">
        <v>12</v>
      </c>
      <c r="M110">
        <v>1700</v>
      </c>
      <c r="N110" t="s">
        <v>24</v>
      </c>
      <c r="O110" t="s">
        <v>35</v>
      </c>
      <c r="P110">
        <v>20400</v>
      </c>
    </row>
    <row r="111" spans="1:16">
      <c r="A111" t="s">
        <v>222</v>
      </c>
      <c r="B111" s="5">
        <v>46228</v>
      </c>
      <c r="C111" s="6">
        <v>46237</v>
      </c>
      <c r="D111" t="s">
        <v>33</v>
      </c>
      <c r="E111" t="s">
        <v>34</v>
      </c>
      <c r="F111" t="s">
        <v>22</v>
      </c>
      <c r="G111" t="s">
        <v>52</v>
      </c>
      <c r="H111" t="s">
        <v>91</v>
      </c>
      <c r="I111" t="s">
        <v>19</v>
      </c>
      <c r="J111" t="s">
        <v>92</v>
      </c>
      <c r="K111" t="s">
        <v>23</v>
      </c>
      <c r="L111">
        <v>11</v>
      </c>
      <c r="M111">
        <v>19100</v>
      </c>
      <c r="N111" t="s">
        <v>29</v>
      </c>
      <c r="O111" t="s">
        <v>35</v>
      </c>
      <c r="P111">
        <v>210100</v>
      </c>
    </row>
    <row r="112" spans="1:16">
      <c r="A112" t="s">
        <v>223</v>
      </c>
      <c r="B112" s="5">
        <v>46201</v>
      </c>
      <c r="C112" s="6">
        <v>46207</v>
      </c>
      <c r="D112" t="s">
        <v>30</v>
      </c>
      <c r="E112" t="s">
        <v>27</v>
      </c>
      <c r="F112" t="s">
        <v>22</v>
      </c>
      <c r="G112" t="s">
        <v>52</v>
      </c>
      <c r="H112" t="s">
        <v>96</v>
      </c>
      <c r="I112" t="s">
        <v>30</v>
      </c>
      <c r="J112" t="s">
        <v>97</v>
      </c>
      <c r="K112" t="s">
        <v>36</v>
      </c>
      <c r="L112">
        <v>7</v>
      </c>
      <c r="M112">
        <v>27800</v>
      </c>
      <c r="N112" t="s">
        <v>29</v>
      </c>
      <c r="O112" t="s">
        <v>35</v>
      </c>
      <c r="P112">
        <v>194600</v>
      </c>
    </row>
    <row r="113" spans="1:16">
      <c r="A113" t="s">
        <v>224</v>
      </c>
      <c r="B113" s="5">
        <v>46275</v>
      </c>
      <c r="C113" s="6">
        <v>46283</v>
      </c>
      <c r="D113" t="s">
        <v>43</v>
      </c>
      <c r="E113" t="s">
        <v>78</v>
      </c>
      <c r="F113" t="s">
        <v>22</v>
      </c>
      <c r="G113" t="s">
        <v>52</v>
      </c>
      <c r="H113" t="s">
        <v>105</v>
      </c>
      <c r="I113" t="s">
        <v>43</v>
      </c>
      <c r="J113" t="s">
        <v>106</v>
      </c>
      <c r="K113" t="s">
        <v>36</v>
      </c>
      <c r="L113">
        <v>21</v>
      </c>
      <c r="M113">
        <v>27700</v>
      </c>
      <c r="N113" t="s">
        <v>41</v>
      </c>
      <c r="O113" t="s">
        <v>35</v>
      </c>
      <c r="P113">
        <v>581700</v>
      </c>
    </row>
    <row r="114" spans="1:16">
      <c r="A114" t="s">
        <v>225</v>
      </c>
      <c r="B114" s="5">
        <v>46178</v>
      </c>
      <c r="C114" s="6">
        <v>46183</v>
      </c>
      <c r="D114" t="s">
        <v>19</v>
      </c>
      <c r="E114" t="s">
        <v>31</v>
      </c>
      <c r="F114" t="s">
        <v>22</v>
      </c>
      <c r="G114" t="s">
        <v>28</v>
      </c>
      <c r="H114" t="s">
        <v>83</v>
      </c>
      <c r="I114" t="s">
        <v>26</v>
      </c>
      <c r="J114" t="s">
        <v>84</v>
      </c>
      <c r="K114" t="s">
        <v>36</v>
      </c>
      <c r="L114">
        <v>15</v>
      </c>
      <c r="M114">
        <v>18300</v>
      </c>
      <c r="N114" t="s">
        <v>32</v>
      </c>
      <c r="O114" t="s">
        <v>35</v>
      </c>
      <c r="P114">
        <v>274500</v>
      </c>
    </row>
    <row r="115" spans="1:16">
      <c r="A115" t="s">
        <v>226</v>
      </c>
      <c r="B115" s="5">
        <v>46069</v>
      </c>
      <c r="C115" s="6">
        <v>46079</v>
      </c>
      <c r="D115" t="s">
        <v>33</v>
      </c>
      <c r="E115" t="s">
        <v>31</v>
      </c>
      <c r="F115" t="s">
        <v>89</v>
      </c>
      <c r="G115" t="s">
        <v>90</v>
      </c>
      <c r="H115" t="s">
        <v>121</v>
      </c>
      <c r="I115" t="s">
        <v>43</v>
      </c>
      <c r="J115" t="s">
        <v>122</v>
      </c>
      <c r="K115" t="s">
        <v>81</v>
      </c>
      <c r="L115">
        <v>2</v>
      </c>
      <c r="M115">
        <v>80</v>
      </c>
      <c r="N115" t="s">
        <v>32</v>
      </c>
      <c r="O115" t="s">
        <v>114</v>
      </c>
      <c r="P115">
        <v>160</v>
      </c>
    </row>
    <row r="116" spans="1:16">
      <c r="A116" t="s">
        <v>227</v>
      </c>
      <c r="B116" s="5">
        <v>46266</v>
      </c>
      <c r="C116" s="6">
        <v>46275</v>
      </c>
      <c r="D116" t="s">
        <v>26</v>
      </c>
      <c r="E116" t="s">
        <v>54</v>
      </c>
      <c r="F116" t="s">
        <v>99</v>
      </c>
      <c r="G116" t="s">
        <v>100</v>
      </c>
      <c r="H116" t="s">
        <v>96</v>
      </c>
      <c r="I116" t="s">
        <v>26</v>
      </c>
      <c r="J116" t="s">
        <v>97</v>
      </c>
      <c r="K116" t="s">
        <v>36</v>
      </c>
      <c r="L116">
        <v>23</v>
      </c>
      <c r="M116">
        <v>6300</v>
      </c>
      <c r="N116" t="s">
        <v>24</v>
      </c>
      <c r="O116" t="s">
        <v>35</v>
      </c>
      <c r="P116">
        <v>144900</v>
      </c>
    </row>
    <row r="117" spans="1:16">
      <c r="A117" t="s">
        <v>228</v>
      </c>
      <c r="B117" s="5">
        <v>46247</v>
      </c>
      <c r="C117" s="6">
        <v>46255</v>
      </c>
      <c r="D117" t="s">
        <v>19</v>
      </c>
      <c r="E117" t="s">
        <v>34</v>
      </c>
      <c r="F117" t="s">
        <v>99</v>
      </c>
      <c r="G117" t="s">
        <v>137</v>
      </c>
      <c r="H117" t="s">
        <v>96</v>
      </c>
      <c r="I117" t="s">
        <v>19</v>
      </c>
      <c r="J117" t="s">
        <v>97</v>
      </c>
      <c r="K117" t="s">
        <v>36</v>
      </c>
      <c r="L117">
        <v>14</v>
      </c>
      <c r="M117">
        <v>10100</v>
      </c>
      <c r="N117" t="s">
        <v>41</v>
      </c>
      <c r="O117" t="s">
        <v>37</v>
      </c>
      <c r="P117">
        <v>141400</v>
      </c>
    </row>
    <row r="118" spans="1:16">
      <c r="A118" t="s">
        <v>229</v>
      </c>
      <c r="B118" s="5">
        <v>46191</v>
      </c>
      <c r="C118" s="6">
        <v>46193</v>
      </c>
      <c r="D118" t="s">
        <v>19</v>
      </c>
      <c r="E118" t="s">
        <v>34</v>
      </c>
      <c r="F118" t="s">
        <v>22</v>
      </c>
      <c r="G118" t="s">
        <v>110</v>
      </c>
      <c r="H118" t="s">
        <v>121</v>
      </c>
      <c r="I118" t="s">
        <v>43</v>
      </c>
      <c r="J118" t="s">
        <v>122</v>
      </c>
      <c r="K118" t="s">
        <v>23</v>
      </c>
      <c r="L118">
        <v>11</v>
      </c>
      <c r="M118">
        <v>15300</v>
      </c>
      <c r="N118" t="s">
        <v>24</v>
      </c>
      <c r="O118" t="s">
        <v>35</v>
      </c>
      <c r="P118">
        <v>168300</v>
      </c>
    </row>
    <row r="119" spans="1:16">
      <c r="A119" t="s">
        <v>230</v>
      </c>
      <c r="B119" s="5">
        <v>46223</v>
      </c>
      <c r="C119" s="6">
        <v>46226</v>
      </c>
      <c r="D119" t="s">
        <v>19</v>
      </c>
      <c r="E119" t="s">
        <v>31</v>
      </c>
      <c r="F119" t="s">
        <v>99</v>
      </c>
      <c r="G119" t="s">
        <v>100</v>
      </c>
      <c r="H119" t="s">
        <v>91</v>
      </c>
      <c r="I119" t="s">
        <v>33</v>
      </c>
      <c r="J119" t="s">
        <v>92</v>
      </c>
      <c r="K119" t="s">
        <v>81</v>
      </c>
      <c r="L119">
        <v>11</v>
      </c>
      <c r="M119">
        <v>4400</v>
      </c>
      <c r="N119" t="s">
        <v>29</v>
      </c>
      <c r="O119" t="s">
        <v>37</v>
      </c>
      <c r="P119">
        <v>48400</v>
      </c>
    </row>
    <row r="120" spans="1:16">
      <c r="A120" t="s">
        <v>231</v>
      </c>
      <c r="B120" s="5">
        <v>46208</v>
      </c>
      <c r="C120" s="6">
        <v>46209</v>
      </c>
      <c r="D120" t="s">
        <v>19</v>
      </c>
      <c r="E120" t="s">
        <v>20</v>
      </c>
      <c r="F120" t="s">
        <v>22</v>
      </c>
      <c r="G120" t="s">
        <v>28</v>
      </c>
      <c r="H120" t="s">
        <v>111</v>
      </c>
      <c r="I120" t="s">
        <v>30</v>
      </c>
      <c r="J120" t="s">
        <v>112</v>
      </c>
      <c r="K120" t="s">
        <v>36</v>
      </c>
      <c r="L120">
        <v>25</v>
      </c>
      <c r="M120">
        <v>20000</v>
      </c>
      <c r="N120" t="s">
        <v>32</v>
      </c>
      <c r="O120" t="s">
        <v>35</v>
      </c>
      <c r="P120">
        <v>500000</v>
      </c>
    </row>
    <row r="121" spans="1:16">
      <c r="A121" t="s">
        <v>232</v>
      </c>
      <c r="B121" s="5">
        <v>46174</v>
      </c>
      <c r="C121" s="6">
        <v>46176</v>
      </c>
      <c r="D121" t="s">
        <v>19</v>
      </c>
      <c r="E121" t="s">
        <v>31</v>
      </c>
      <c r="F121" t="s">
        <v>99</v>
      </c>
      <c r="G121" t="s">
        <v>116</v>
      </c>
      <c r="H121" t="s">
        <v>83</v>
      </c>
      <c r="I121" t="s">
        <v>30</v>
      </c>
      <c r="J121" t="s">
        <v>84</v>
      </c>
      <c r="K121" t="s">
        <v>81</v>
      </c>
      <c r="L121">
        <v>13</v>
      </c>
      <c r="M121">
        <v>6900</v>
      </c>
      <c r="N121" t="s">
        <v>29</v>
      </c>
      <c r="O121" t="s">
        <v>35</v>
      </c>
      <c r="P121">
        <v>89700</v>
      </c>
    </row>
    <row r="122" spans="1:16">
      <c r="A122" t="s">
        <v>233</v>
      </c>
      <c r="B122" s="5">
        <v>46233</v>
      </c>
      <c r="C122" s="6">
        <v>46239</v>
      </c>
      <c r="D122" t="s">
        <v>33</v>
      </c>
      <c r="E122" t="s">
        <v>31</v>
      </c>
      <c r="F122" t="s">
        <v>99</v>
      </c>
      <c r="G122" t="s">
        <v>129</v>
      </c>
      <c r="H122" t="s">
        <v>79</v>
      </c>
      <c r="I122" t="s">
        <v>19</v>
      </c>
      <c r="J122" t="s">
        <v>80</v>
      </c>
      <c r="K122" t="s">
        <v>81</v>
      </c>
      <c r="L122">
        <v>15</v>
      </c>
      <c r="M122">
        <v>2000</v>
      </c>
      <c r="N122" t="s">
        <v>29</v>
      </c>
      <c r="O122" t="s">
        <v>35</v>
      </c>
      <c r="P122">
        <v>30000</v>
      </c>
    </row>
    <row r="123" spans="1:16">
      <c r="A123" t="s">
        <v>234</v>
      </c>
      <c r="B123" s="5">
        <v>46211</v>
      </c>
      <c r="C123" s="6">
        <v>46222</v>
      </c>
      <c r="D123" t="s">
        <v>33</v>
      </c>
      <c r="E123" t="s">
        <v>34</v>
      </c>
      <c r="F123" t="s">
        <v>89</v>
      </c>
      <c r="G123" t="s">
        <v>143</v>
      </c>
      <c r="H123" t="s">
        <v>105</v>
      </c>
      <c r="I123" t="s">
        <v>33</v>
      </c>
      <c r="J123" t="s">
        <v>106</v>
      </c>
      <c r="K123" t="s">
        <v>81</v>
      </c>
      <c r="L123">
        <v>17</v>
      </c>
      <c r="M123">
        <v>40</v>
      </c>
      <c r="N123" t="s">
        <v>32</v>
      </c>
      <c r="O123" t="s">
        <v>114</v>
      </c>
      <c r="P123">
        <v>680</v>
      </c>
    </row>
    <row r="124" spans="1:16">
      <c r="A124" t="s">
        <v>235</v>
      </c>
      <c r="B124" s="5">
        <v>46151</v>
      </c>
      <c r="C124" s="6">
        <v>46152</v>
      </c>
      <c r="D124" t="s">
        <v>19</v>
      </c>
      <c r="E124" t="s">
        <v>31</v>
      </c>
      <c r="F124" t="s">
        <v>99</v>
      </c>
      <c r="G124" t="s">
        <v>116</v>
      </c>
      <c r="H124" t="s">
        <v>105</v>
      </c>
      <c r="I124" t="s">
        <v>26</v>
      </c>
      <c r="J124" t="s">
        <v>106</v>
      </c>
      <c r="K124" t="s">
        <v>81</v>
      </c>
      <c r="L124">
        <v>17</v>
      </c>
      <c r="M124">
        <v>17100</v>
      </c>
      <c r="N124" t="s">
        <v>24</v>
      </c>
      <c r="O124" t="s">
        <v>35</v>
      </c>
      <c r="P124">
        <v>290700</v>
      </c>
    </row>
    <row r="125" spans="1:16">
      <c r="A125" t="s">
        <v>236</v>
      </c>
      <c r="B125" s="5">
        <v>46285</v>
      </c>
      <c r="C125" s="6">
        <v>46288</v>
      </c>
      <c r="D125" t="s">
        <v>26</v>
      </c>
      <c r="E125" t="s">
        <v>20</v>
      </c>
      <c r="F125" t="s">
        <v>99</v>
      </c>
      <c r="G125" t="s">
        <v>100</v>
      </c>
      <c r="H125" t="s">
        <v>121</v>
      </c>
      <c r="I125" t="s">
        <v>33</v>
      </c>
      <c r="J125" t="s">
        <v>122</v>
      </c>
      <c r="K125" t="s">
        <v>36</v>
      </c>
      <c r="L125">
        <v>1</v>
      </c>
      <c r="M125">
        <v>5300</v>
      </c>
      <c r="N125" t="s">
        <v>32</v>
      </c>
      <c r="O125" t="s">
        <v>35</v>
      </c>
      <c r="P125">
        <v>5300</v>
      </c>
    </row>
    <row r="126" spans="1:16">
      <c r="A126" t="s">
        <v>237</v>
      </c>
      <c r="B126" s="5">
        <v>46064</v>
      </c>
      <c r="C126" s="6">
        <v>46070</v>
      </c>
      <c r="D126" t="s">
        <v>26</v>
      </c>
      <c r="E126" t="s">
        <v>34</v>
      </c>
      <c r="F126" t="s">
        <v>89</v>
      </c>
      <c r="G126" t="s">
        <v>95</v>
      </c>
      <c r="H126" t="s">
        <v>79</v>
      </c>
      <c r="I126" t="s">
        <v>26</v>
      </c>
      <c r="J126" t="s">
        <v>80</v>
      </c>
      <c r="K126" t="s">
        <v>81</v>
      </c>
      <c r="L126">
        <v>21</v>
      </c>
      <c r="M126">
        <v>16800</v>
      </c>
      <c r="N126" t="s">
        <v>41</v>
      </c>
      <c r="O126" t="s">
        <v>37</v>
      </c>
      <c r="P126">
        <v>352800</v>
      </c>
    </row>
    <row r="127" spans="1:16">
      <c r="A127" t="s">
        <v>238</v>
      </c>
      <c r="B127" s="5">
        <v>46264</v>
      </c>
      <c r="C127" s="6">
        <v>46276</v>
      </c>
      <c r="D127" t="s">
        <v>33</v>
      </c>
      <c r="E127" t="s">
        <v>54</v>
      </c>
      <c r="F127" t="s">
        <v>99</v>
      </c>
      <c r="G127" t="s">
        <v>137</v>
      </c>
      <c r="H127" t="s">
        <v>96</v>
      </c>
      <c r="I127" t="s">
        <v>43</v>
      </c>
      <c r="K127" t="s">
        <v>23</v>
      </c>
      <c r="L127">
        <v>3</v>
      </c>
      <c r="M127">
        <v>10600</v>
      </c>
      <c r="N127" t="s">
        <v>24</v>
      </c>
      <c r="O127" t="s">
        <v>35</v>
      </c>
      <c r="P127">
        <v>31800</v>
      </c>
    </row>
    <row r="128" spans="1:16">
      <c r="A128" t="s">
        <v>239</v>
      </c>
      <c r="B128" s="5">
        <v>46170</v>
      </c>
      <c r="C128" s="6">
        <v>46174</v>
      </c>
      <c r="D128" t="s">
        <v>26</v>
      </c>
      <c r="E128" t="s">
        <v>27</v>
      </c>
      <c r="F128" t="s">
        <v>99</v>
      </c>
      <c r="G128" t="s">
        <v>129</v>
      </c>
      <c r="H128" t="s">
        <v>86</v>
      </c>
      <c r="I128" t="s">
        <v>30</v>
      </c>
      <c r="J128" t="s">
        <v>87</v>
      </c>
      <c r="K128" t="s">
        <v>36</v>
      </c>
      <c r="L128">
        <v>21</v>
      </c>
      <c r="M128">
        <v>2500</v>
      </c>
      <c r="N128" t="s">
        <v>32</v>
      </c>
      <c r="O128" t="s">
        <v>35</v>
      </c>
      <c r="P128">
        <v>52500</v>
      </c>
    </row>
    <row r="129" spans="1:16">
      <c r="A129" t="s">
        <v>240</v>
      </c>
      <c r="B129" s="5">
        <v>46286</v>
      </c>
      <c r="C129" s="6">
        <v>46296</v>
      </c>
      <c r="D129" t="s">
        <v>30</v>
      </c>
      <c r="E129" t="s">
        <v>34</v>
      </c>
      <c r="F129" t="s">
        <v>40</v>
      </c>
      <c r="G129" t="s">
        <v>44</v>
      </c>
      <c r="H129" t="s">
        <v>79</v>
      </c>
      <c r="I129" t="s">
        <v>33</v>
      </c>
      <c r="J129" t="s">
        <v>80</v>
      </c>
      <c r="K129" t="s">
        <v>23</v>
      </c>
      <c r="L129">
        <v>20</v>
      </c>
      <c r="M129">
        <v>2700</v>
      </c>
      <c r="N129" t="s">
        <v>41</v>
      </c>
      <c r="O129" t="s">
        <v>35</v>
      </c>
      <c r="P129">
        <v>54000</v>
      </c>
    </row>
    <row r="130" spans="1:16">
      <c r="A130" t="s">
        <v>241</v>
      </c>
      <c r="B130" s="5">
        <v>46291</v>
      </c>
      <c r="C130" s="6">
        <v>46297</v>
      </c>
      <c r="D130" t="s">
        <v>43</v>
      </c>
      <c r="E130" t="s">
        <v>31</v>
      </c>
      <c r="F130" t="s">
        <v>40</v>
      </c>
      <c r="G130" t="s">
        <v>47</v>
      </c>
      <c r="H130" t="s">
        <v>91</v>
      </c>
      <c r="I130" t="s">
        <v>43</v>
      </c>
      <c r="J130" t="s">
        <v>92</v>
      </c>
      <c r="K130" t="s">
        <v>81</v>
      </c>
      <c r="L130">
        <v>18</v>
      </c>
      <c r="M130">
        <v>600</v>
      </c>
      <c r="N130" t="s">
        <v>24</v>
      </c>
      <c r="O130" t="s">
        <v>35</v>
      </c>
      <c r="P130">
        <v>10800</v>
      </c>
    </row>
    <row r="131" spans="1:16">
      <c r="A131" t="s">
        <v>242</v>
      </c>
      <c r="B131" s="5">
        <v>46221</v>
      </c>
      <c r="C131" s="6">
        <v>46227</v>
      </c>
      <c r="D131" t="s">
        <v>26</v>
      </c>
      <c r="E131" t="s">
        <v>34</v>
      </c>
      <c r="F131" t="s">
        <v>40</v>
      </c>
      <c r="G131" t="s">
        <v>44</v>
      </c>
      <c r="H131" t="s">
        <v>86</v>
      </c>
      <c r="I131" t="s">
        <v>26</v>
      </c>
      <c r="J131" t="s">
        <v>87</v>
      </c>
      <c r="K131" t="s">
        <v>36</v>
      </c>
      <c r="L131">
        <v>8</v>
      </c>
      <c r="M131">
        <v>2700</v>
      </c>
      <c r="N131" t="s">
        <v>24</v>
      </c>
      <c r="O131" t="s">
        <v>37</v>
      </c>
      <c r="P131">
        <v>21600</v>
      </c>
    </row>
    <row r="132" spans="1:16">
      <c r="A132" t="s">
        <v>243</v>
      </c>
      <c r="B132" s="5">
        <v>46203</v>
      </c>
      <c r="C132" s="6">
        <v>46212</v>
      </c>
      <c r="D132" t="s">
        <v>30</v>
      </c>
      <c r="E132" t="s">
        <v>78</v>
      </c>
      <c r="F132" t="s">
        <v>89</v>
      </c>
      <c r="G132" t="s">
        <v>95</v>
      </c>
      <c r="H132" t="s">
        <v>111</v>
      </c>
      <c r="I132" t="s">
        <v>33</v>
      </c>
      <c r="J132" t="s">
        <v>112</v>
      </c>
      <c r="K132" t="s">
        <v>81</v>
      </c>
      <c r="L132">
        <v>16</v>
      </c>
      <c r="M132">
        <v>8100</v>
      </c>
      <c r="N132" t="s">
        <v>29</v>
      </c>
      <c r="O132" t="s">
        <v>25</v>
      </c>
      <c r="P132">
        <v>129600</v>
      </c>
    </row>
    <row r="133" spans="1:16">
      <c r="A133" t="s">
        <v>244</v>
      </c>
      <c r="B133" s="5">
        <v>46173</v>
      </c>
      <c r="C133" s="6">
        <v>46177</v>
      </c>
      <c r="D133" t="s">
        <v>30</v>
      </c>
      <c r="E133" t="s">
        <v>27</v>
      </c>
      <c r="F133" t="s">
        <v>22</v>
      </c>
      <c r="G133" t="s">
        <v>28</v>
      </c>
      <c r="H133" t="s">
        <v>83</v>
      </c>
      <c r="I133" t="s">
        <v>19</v>
      </c>
      <c r="J133" t="s">
        <v>84</v>
      </c>
      <c r="K133" t="s">
        <v>36</v>
      </c>
      <c r="L133">
        <v>17</v>
      </c>
      <c r="M133">
        <v>7900</v>
      </c>
      <c r="N133" t="s">
        <v>32</v>
      </c>
      <c r="O133" t="s">
        <v>114</v>
      </c>
      <c r="P133">
        <v>134300</v>
      </c>
    </row>
    <row r="134" spans="1:16">
      <c r="A134" t="s">
        <v>245</v>
      </c>
      <c r="B134" s="5">
        <v>46120</v>
      </c>
      <c r="C134" s="6">
        <v>46125</v>
      </c>
      <c r="D134" t="s">
        <v>26</v>
      </c>
      <c r="E134" t="s">
        <v>78</v>
      </c>
      <c r="F134" t="s">
        <v>40</v>
      </c>
      <c r="G134" t="s">
        <v>39</v>
      </c>
      <c r="H134" t="s">
        <v>111</v>
      </c>
      <c r="I134" t="s">
        <v>19</v>
      </c>
      <c r="J134" t="s">
        <v>112</v>
      </c>
      <c r="K134" t="s">
        <v>36</v>
      </c>
      <c r="L134">
        <v>4</v>
      </c>
      <c r="M134">
        <v>1200</v>
      </c>
      <c r="N134" t="s">
        <v>41</v>
      </c>
      <c r="O134" t="s">
        <v>35</v>
      </c>
      <c r="P134">
        <v>4800</v>
      </c>
    </row>
    <row r="135" spans="1:16">
      <c r="A135" t="s">
        <v>246</v>
      </c>
      <c r="B135" s="5">
        <v>46196</v>
      </c>
      <c r="C135" s="6">
        <v>46199</v>
      </c>
      <c r="D135" t="s">
        <v>33</v>
      </c>
      <c r="E135" t="s">
        <v>34</v>
      </c>
      <c r="F135" t="s">
        <v>40</v>
      </c>
      <c r="G135" t="s">
        <v>102</v>
      </c>
      <c r="H135" t="s">
        <v>105</v>
      </c>
      <c r="I135" t="s">
        <v>43</v>
      </c>
      <c r="J135" t="s">
        <v>106</v>
      </c>
      <c r="K135" t="s">
        <v>36</v>
      </c>
      <c r="L135">
        <v>3</v>
      </c>
      <c r="M135">
        <v>3900</v>
      </c>
      <c r="N135" t="s">
        <v>32</v>
      </c>
      <c r="O135" t="s">
        <v>35</v>
      </c>
      <c r="P135">
        <v>11700</v>
      </c>
    </row>
    <row r="136" spans="1:16">
      <c r="A136" t="s">
        <v>247</v>
      </c>
      <c r="B136" s="5">
        <v>46075</v>
      </c>
      <c r="C136" s="6">
        <v>46077</v>
      </c>
      <c r="D136" t="s">
        <v>19</v>
      </c>
      <c r="E136" t="s">
        <v>34</v>
      </c>
      <c r="F136" t="s">
        <v>99</v>
      </c>
      <c r="G136" t="s">
        <v>100</v>
      </c>
      <c r="H136" t="s">
        <v>111</v>
      </c>
      <c r="I136" t="s">
        <v>33</v>
      </c>
      <c r="J136" t="s">
        <v>112</v>
      </c>
      <c r="K136" t="s">
        <v>81</v>
      </c>
      <c r="L136">
        <v>23</v>
      </c>
      <c r="M136">
        <v>4500</v>
      </c>
      <c r="N136" t="s">
        <v>32</v>
      </c>
      <c r="O136" t="s">
        <v>35</v>
      </c>
      <c r="P136">
        <v>103500</v>
      </c>
    </row>
    <row r="137" spans="1:16">
      <c r="A137" t="s">
        <v>248</v>
      </c>
      <c r="B137" s="5">
        <v>46044</v>
      </c>
      <c r="C137" s="6">
        <v>46056</v>
      </c>
      <c r="D137" t="s">
        <v>43</v>
      </c>
      <c r="E137" t="s">
        <v>54</v>
      </c>
      <c r="F137" t="s">
        <v>40</v>
      </c>
      <c r="G137" t="s">
        <v>39</v>
      </c>
      <c r="H137" t="s">
        <v>111</v>
      </c>
      <c r="I137" t="s">
        <v>19</v>
      </c>
      <c r="J137" t="s">
        <v>112</v>
      </c>
      <c r="K137" t="s">
        <v>81</v>
      </c>
      <c r="L137">
        <v>2</v>
      </c>
      <c r="M137">
        <v>3800</v>
      </c>
      <c r="N137" t="s">
        <v>24</v>
      </c>
      <c r="O137" t="s">
        <v>37</v>
      </c>
      <c r="P137">
        <v>7600</v>
      </c>
    </row>
    <row r="138" spans="1:16">
      <c r="A138" t="s">
        <v>249</v>
      </c>
      <c r="B138" s="5">
        <v>46104</v>
      </c>
      <c r="C138" s="6">
        <v>46105</v>
      </c>
      <c r="D138" t="s">
        <v>43</v>
      </c>
      <c r="E138" t="s">
        <v>78</v>
      </c>
      <c r="F138" t="s">
        <v>40</v>
      </c>
      <c r="G138" t="s">
        <v>39</v>
      </c>
      <c r="H138" t="s">
        <v>96</v>
      </c>
      <c r="I138" t="s">
        <v>33</v>
      </c>
      <c r="J138" t="s">
        <v>97</v>
      </c>
      <c r="K138" t="s">
        <v>23</v>
      </c>
      <c r="L138">
        <v>5</v>
      </c>
      <c r="M138">
        <v>4200</v>
      </c>
      <c r="N138" t="s">
        <v>24</v>
      </c>
      <c r="O138" t="s">
        <v>35</v>
      </c>
      <c r="P138">
        <v>21000</v>
      </c>
    </row>
    <row r="139" spans="1:16">
      <c r="A139" t="s">
        <v>250</v>
      </c>
      <c r="B139" s="5">
        <v>46039</v>
      </c>
      <c r="C139" s="6">
        <v>46049</v>
      </c>
      <c r="D139" t="s">
        <v>33</v>
      </c>
      <c r="E139" t="s">
        <v>34</v>
      </c>
      <c r="F139" t="s">
        <v>89</v>
      </c>
      <c r="G139" t="s">
        <v>90</v>
      </c>
      <c r="H139" t="s">
        <v>96</v>
      </c>
      <c r="I139" t="s">
        <v>19</v>
      </c>
      <c r="J139" t="s">
        <v>97</v>
      </c>
      <c r="K139" t="s">
        <v>36</v>
      </c>
      <c r="L139">
        <v>25</v>
      </c>
      <c r="M139">
        <v>180</v>
      </c>
      <c r="N139" t="s">
        <v>24</v>
      </c>
      <c r="O139" t="s">
        <v>35</v>
      </c>
      <c r="P139">
        <v>4500</v>
      </c>
    </row>
    <row r="140" spans="1:16">
      <c r="A140" t="s">
        <v>251</v>
      </c>
      <c r="B140" s="5">
        <v>46165</v>
      </c>
      <c r="C140" s="6">
        <v>46169</v>
      </c>
      <c r="D140" t="s">
        <v>26</v>
      </c>
      <c r="E140" t="s">
        <v>78</v>
      </c>
      <c r="F140" t="s">
        <v>89</v>
      </c>
      <c r="G140" t="s">
        <v>143</v>
      </c>
      <c r="H140" t="s">
        <v>91</v>
      </c>
      <c r="I140" t="s">
        <v>30</v>
      </c>
      <c r="J140" t="s">
        <v>92</v>
      </c>
      <c r="K140" t="s">
        <v>36</v>
      </c>
      <c r="L140">
        <v>17</v>
      </c>
      <c r="M140">
        <v>140</v>
      </c>
      <c r="N140" t="s">
        <v>32</v>
      </c>
      <c r="O140" t="s">
        <v>114</v>
      </c>
      <c r="P140">
        <v>2380</v>
      </c>
    </row>
    <row r="141" spans="1:16">
      <c r="A141" t="s">
        <v>252</v>
      </c>
      <c r="B141" s="5">
        <v>46251</v>
      </c>
      <c r="C141" s="6">
        <v>46255</v>
      </c>
      <c r="D141" t="s">
        <v>33</v>
      </c>
      <c r="E141" t="s">
        <v>20</v>
      </c>
      <c r="F141" t="s">
        <v>22</v>
      </c>
      <c r="G141" t="s">
        <v>110</v>
      </c>
      <c r="H141" t="s">
        <v>86</v>
      </c>
      <c r="I141" t="s">
        <v>26</v>
      </c>
      <c r="J141" t="s">
        <v>87</v>
      </c>
      <c r="K141" t="s">
        <v>23</v>
      </c>
      <c r="L141">
        <v>3</v>
      </c>
      <c r="M141">
        <v>25300</v>
      </c>
      <c r="N141" t="s">
        <v>32</v>
      </c>
      <c r="O141" t="s">
        <v>35</v>
      </c>
      <c r="P141">
        <v>75900</v>
      </c>
    </row>
    <row r="142" spans="1:16">
      <c r="A142" t="s">
        <v>253</v>
      </c>
      <c r="B142" s="5">
        <v>46186</v>
      </c>
      <c r="C142" s="6">
        <v>46197</v>
      </c>
      <c r="D142" t="s">
        <v>26</v>
      </c>
      <c r="E142" t="s">
        <v>31</v>
      </c>
      <c r="F142" t="s">
        <v>40</v>
      </c>
      <c r="G142" t="s">
        <v>44</v>
      </c>
      <c r="H142" t="s">
        <v>111</v>
      </c>
      <c r="I142" t="s">
        <v>43</v>
      </c>
      <c r="J142" t="s">
        <v>112</v>
      </c>
      <c r="K142" t="s">
        <v>36</v>
      </c>
      <c r="L142">
        <v>10</v>
      </c>
      <c r="M142">
        <v>2800</v>
      </c>
      <c r="N142" t="s">
        <v>29</v>
      </c>
      <c r="O142" t="s">
        <v>37</v>
      </c>
      <c r="P142">
        <v>28000</v>
      </c>
    </row>
    <row r="143" spans="1:16">
      <c r="A143" t="s">
        <v>254</v>
      </c>
      <c r="B143" s="5">
        <v>46137</v>
      </c>
      <c r="C143" s="6">
        <v>46139</v>
      </c>
      <c r="D143" t="s">
        <v>30</v>
      </c>
      <c r="E143" t="s">
        <v>20</v>
      </c>
      <c r="F143" t="s">
        <v>99</v>
      </c>
      <c r="G143" t="s">
        <v>100</v>
      </c>
      <c r="H143" t="s">
        <v>79</v>
      </c>
      <c r="I143" t="s">
        <v>33</v>
      </c>
      <c r="J143" t="s">
        <v>80</v>
      </c>
      <c r="K143" t="s">
        <v>23</v>
      </c>
      <c r="L143">
        <v>12</v>
      </c>
      <c r="M143">
        <v>5700</v>
      </c>
      <c r="N143" t="s">
        <v>41</v>
      </c>
      <c r="O143" t="s">
        <v>35</v>
      </c>
      <c r="P143">
        <v>68400</v>
      </c>
    </row>
    <row r="144" spans="1:16">
      <c r="A144" t="s">
        <v>255</v>
      </c>
      <c r="B144" s="5">
        <v>46181</v>
      </c>
      <c r="C144" s="6">
        <v>46188</v>
      </c>
      <c r="D144" t="s">
        <v>43</v>
      </c>
      <c r="E144" t="s">
        <v>54</v>
      </c>
      <c r="F144" t="s">
        <v>99</v>
      </c>
      <c r="G144" t="s">
        <v>137</v>
      </c>
      <c r="H144" t="s">
        <v>105</v>
      </c>
      <c r="I144" t="s">
        <v>33</v>
      </c>
      <c r="J144" t="s">
        <v>106</v>
      </c>
      <c r="K144" t="s">
        <v>81</v>
      </c>
      <c r="L144">
        <v>3</v>
      </c>
      <c r="M144">
        <v>7800</v>
      </c>
      <c r="N144" t="s">
        <v>29</v>
      </c>
      <c r="O144" t="s">
        <v>114</v>
      </c>
      <c r="P144">
        <v>23400</v>
      </c>
    </row>
    <row r="145" spans="1:16">
      <c r="A145" t="s">
        <v>256</v>
      </c>
      <c r="B145" s="5">
        <v>46287</v>
      </c>
      <c r="C145" s="6">
        <v>46293</v>
      </c>
      <c r="D145" t="s">
        <v>43</v>
      </c>
      <c r="E145" t="s">
        <v>78</v>
      </c>
      <c r="F145" t="s">
        <v>22</v>
      </c>
      <c r="G145" t="s">
        <v>257</v>
      </c>
      <c r="H145" t="s">
        <v>96</v>
      </c>
      <c r="I145" t="s">
        <v>43</v>
      </c>
      <c r="J145" t="s">
        <v>97</v>
      </c>
      <c r="K145" t="s">
        <v>23</v>
      </c>
      <c r="L145">
        <v>25</v>
      </c>
      <c r="M145">
        <v>18900</v>
      </c>
      <c r="N145" t="s">
        <v>29</v>
      </c>
      <c r="O145" t="s">
        <v>35</v>
      </c>
      <c r="P145">
        <v>472500</v>
      </c>
    </row>
    <row r="146" spans="1:16">
      <c r="A146" t="s">
        <v>258</v>
      </c>
      <c r="B146" s="5">
        <v>46101</v>
      </c>
      <c r="C146" s="6">
        <v>46106</v>
      </c>
      <c r="D146" t="s">
        <v>30</v>
      </c>
      <c r="E146" t="s">
        <v>34</v>
      </c>
      <c r="F146" t="s">
        <v>22</v>
      </c>
      <c r="G146" t="s">
        <v>21</v>
      </c>
      <c r="H146" t="s">
        <v>96</v>
      </c>
      <c r="I146" t="s">
        <v>30</v>
      </c>
      <c r="J146" t="s">
        <v>97</v>
      </c>
      <c r="K146" t="s">
        <v>36</v>
      </c>
      <c r="L146">
        <v>17</v>
      </c>
      <c r="M146">
        <v>66500</v>
      </c>
      <c r="N146" t="s">
        <v>41</v>
      </c>
      <c r="O146" t="s">
        <v>25</v>
      </c>
      <c r="P146">
        <v>1130500</v>
      </c>
    </row>
    <row r="147" spans="1:16">
      <c r="A147" t="s">
        <v>259</v>
      </c>
      <c r="B147" s="5">
        <v>46087</v>
      </c>
      <c r="C147" s="6">
        <v>46098</v>
      </c>
      <c r="D147" t="s">
        <v>43</v>
      </c>
      <c r="E147" t="s">
        <v>31</v>
      </c>
      <c r="F147" t="s">
        <v>89</v>
      </c>
      <c r="G147" t="s">
        <v>95</v>
      </c>
      <c r="H147" t="s">
        <v>86</v>
      </c>
      <c r="I147" t="s">
        <v>26</v>
      </c>
      <c r="J147" t="s">
        <v>87</v>
      </c>
      <c r="K147" t="s">
        <v>81</v>
      </c>
      <c r="L147">
        <v>21</v>
      </c>
      <c r="M147">
        <v>14000</v>
      </c>
      <c r="N147" t="s">
        <v>29</v>
      </c>
      <c r="O147" t="s">
        <v>35</v>
      </c>
      <c r="P147">
        <v>294000</v>
      </c>
    </row>
    <row r="148" spans="1:16">
      <c r="A148" t="s">
        <v>260</v>
      </c>
      <c r="B148" s="5">
        <v>46195</v>
      </c>
      <c r="C148" s="6">
        <v>46205</v>
      </c>
      <c r="D148" t="s">
        <v>26</v>
      </c>
      <c r="E148" t="s">
        <v>27</v>
      </c>
      <c r="F148" t="s">
        <v>99</v>
      </c>
      <c r="G148" t="s">
        <v>116</v>
      </c>
      <c r="H148" t="s">
        <v>83</v>
      </c>
      <c r="I148" t="s">
        <v>26</v>
      </c>
      <c r="J148" t="s">
        <v>84</v>
      </c>
      <c r="K148" t="s">
        <v>81</v>
      </c>
      <c r="L148">
        <v>25</v>
      </c>
      <c r="M148">
        <v>14400</v>
      </c>
      <c r="N148" t="s">
        <v>41</v>
      </c>
      <c r="O148" t="s">
        <v>37</v>
      </c>
      <c r="P148">
        <v>360000</v>
      </c>
    </row>
    <row r="149" spans="1:16">
      <c r="A149" t="s">
        <v>261</v>
      </c>
      <c r="B149" s="5">
        <v>46171</v>
      </c>
      <c r="C149" s="6">
        <v>46182</v>
      </c>
      <c r="D149" t="s">
        <v>33</v>
      </c>
      <c r="E149" t="s">
        <v>20</v>
      </c>
      <c r="F149" t="s">
        <v>40</v>
      </c>
      <c r="G149" t="s">
        <v>44</v>
      </c>
      <c r="H149" t="s">
        <v>86</v>
      </c>
      <c r="I149" t="s">
        <v>33</v>
      </c>
      <c r="J149" t="s">
        <v>87</v>
      </c>
      <c r="K149" t="s">
        <v>36</v>
      </c>
      <c r="L149">
        <v>15</v>
      </c>
      <c r="M149">
        <v>2200</v>
      </c>
      <c r="N149" t="s">
        <v>24</v>
      </c>
      <c r="O149" t="s">
        <v>37</v>
      </c>
      <c r="P149">
        <v>33000</v>
      </c>
    </row>
    <row r="150" spans="1:16">
      <c r="A150" t="s">
        <v>262</v>
      </c>
      <c r="B150" s="5">
        <v>46270</v>
      </c>
      <c r="C150" s="6">
        <v>46278</v>
      </c>
      <c r="D150" t="s">
        <v>19</v>
      </c>
      <c r="E150" t="s">
        <v>31</v>
      </c>
      <c r="F150" t="s">
        <v>99</v>
      </c>
      <c r="G150" t="s">
        <v>129</v>
      </c>
      <c r="H150" t="s">
        <v>79</v>
      </c>
      <c r="I150" t="s">
        <v>30</v>
      </c>
      <c r="J150" t="s">
        <v>80</v>
      </c>
      <c r="K150" t="s">
        <v>36</v>
      </c>
      <c r="L150">
        <v>23</v>
      </c>
      <c r="M150">
        <v>4400</v>
      </c>
      <c r="N150" t="s">
        <v>41</v>
      </c>
      <c r="O150" t="s">
        <v>37</v>
      </c>
      <c r="P150">
        <v>101200</v>
      </c>
    </row>
    <row r="151" spans="1:16">
      <c r="A151" t="s">
        <v>263</v>
      </c>
      <c r="B151" s="5">
        <v>46212</v>
      </c>
      <c r="C151" s="6">
        <v>46221</v>
      </c>
      <c r="D151" t="s">
        <v>19</v>
      </c>
      <c r="E151" t="s">
        <v>20</v>
      </c>
      <c r="F151" t="s">
        <v>89</v>
      </c>
      <c r="G151" t="s">
        <v>143</v>
      </c>
      <c r="H151" t="s">
        <v>91</v>
      </c>
      <c r="I151" t="s">
        <v>33</v>
      </c>
      <c r="J151" t="s">
        <v>92</v>
      </c>
      <c r="K151" t="s">
        <v>23</v>
      </c>
      <c r="L151">
        <v>9</v>
      </c>
      <c r="M151">
        <v>40</v>
      </c>
      <c r="N151" t="s">
        <v>32</v>
      </c>
      <c r="O151" t="s">
        <v>35</v>
      </c>
      <c r="P151">
        <v>360</v>
      </c>
    </row>
    <row r="152" spans="1:16">
      <c r="A152" t="s">
        <v>264</v>
      </c>
      <c r="B152" s="5">
        <v>46219</v>
      </c>
      <c r="C152" s="6">
        <v>46229</v>
      </c>
      <c r="D152" t="s">
        <v>30</v>
      </c>
      <c r="E152" t="s">
        <v>20</v>
      </c>
      <c r="F152" t="s">
        <v>22</v>
      </c>
      <c r="G152" t="s">
        <v>21</v>
      </c>
      <c r="H152" t="s">
        <v>121</v>
      </c>
      <c r="I152" t="s">
        <v>19</v>
      </c>
      <c r="J152" t="s">
        <v>122</v>
      </c>
      <c r="K152" t="s">
        <v>81</v>
      </c>
      <c r="L152">
        <v>24</v>
      </c>
      <c r="M152">
        <v>54800</v>
      </c>
      <c r="N152" t="s">
        <v>41</v>
      </c>
      <c r="O152" t="s">
        <v>35</v>
      </c>
      <c r="P152">
        <v>1315200</v>
      </c>
    </row>
    <row r="153" spans="1:16">
      <c r="A153" t="s">
        <v>265</v>
      </c>
      <c r="B153" s="5">
        <v>46262</v>
      </c>
      <c r="C153" s="6">
        <v>46270</v>
      </c>
      <c r="D153" t="s">
        <v>33</v>
      </c>
      <c r="E153" t="s">
        <v>27</v>
      </c>
      <c r="F153" t="s">
        <v>99</v>
      </c>
      <c r="G153" t="s">
        <v>129</v>
      </c>
      <c r="H153" t="s">
        <v>86</v>
      </c>
      <c r="I153" t="s">
        <v>26</v>
      </c>
      <c r="J153" t="s">
        <v>87</v>
      </c>
      <c r="K153" t="s">
        <v>36</v>
      </c>
      <c r="L153">
        <v>17</v>
      </c>
      <c r="M153">
        <v>5000</v>
      </c>
      <c r="N153" t="s">
        <v>32</v>
      </c>
      <c r="O153" t="s">
        <v>114</v>
      </c>
      <c r="P153">
        <v>85000</v>
      </c>
    </row>
    <row r="154" spans="1:16">
      <c r="A154" t="s">
        <v>266</v>
      </c>
      <c r="B154" s="5">
        <v>46048</v>
      </c>
      <c r="C154" s="6">
        <v>46053</v>
      </c>
      <c r="D154" t="s">
        <v>43</v>
      </c>
      <c r="E154" t="s">
        <v>78</v>
      </c>
      <c r="F154" t="s">
        <v>99</v>
      </c>
      <c r="G154" t="s">
        <v>100</v>
      </c>
      <c r="H154" t="s">
        <v>105</v>
      </c>
      <c r="I154" t="s">
        <v>33</v>
      </c>
      <c r="J154" t="s">
        <v>106</v>
      </c>
      <c r="K154" t="s">
        <v>36</v>
      </c>
      <c r="L154">
        <v>18</v>
      </c>
      <c r="M154">
        <v>2800</v>
      </c>
      <c r="N154" t="s">
        <v>24</v>
      </c>
      <c r="O154" t="s">
        <v>25</v>
      </c>
      <c r="P154">
        <v>50400</v>
      </c>
    </row>
    <row r="155" spans="1:16">
      <c r="A155" t="s">
        <v>267</v>
      </c>
      <c r="B155" s="5">
        <v>46210</v>
      </c>
      <c r="C155" s="6">
        <v>46217</v>
      </c>
      <c r="D155" t="s">
        <v>26</v>
      </c>
      <c r="E155" t="s">
        <v>54</v>
      </c>
      <c r="F155" t="s">
        <v>40</v>
      </c>
      <c r="G155" t="s">
        <v>47</v>
      </c>
      <c r="H155" t="s">
        <v>111</v>
      </c>
      <c r="I155" t="s">
        <v>26</v>
      </c>
      <c r="J155" t="s">
        <v>112</v>
      </c>
      <c r="K155" t="s">
        <v>81</v>
      </c>
      <c r="L155">
        <v>18</v>
      </c>
      <c r="M155">
        <v>1200</v>
      </c>
      <c r="N155" t="s">
        <v>29</v>
      </c>
      <c r="O155" t="s">
        <v>35</v>
      </c>
      <c r="P155">
        <v>21600</v>
      </c>
    </row>
    <row r="156" spans="1:16">
      <c r="A156" t="s">
        <v>268</v>
      </c>
      <c r="B156" s="5">
        <v>46281</v>
      </c>
      <c r="C156" s="6">
        <v>46289</v>
      </c>
      <c r="D156" t="s">
        <v>43</v>
      </c>
      <c r="E156" t="s">
        <v>78</v>
      </c>
      <c r="F156" t="s">
        <v>89</v>
      </c>
      <c r="G156" t="s">
        <v>133</v>
      </c>
      <c r="H156" t="s">
        <v>86</v>
      </c>
      <c r="I156" t="s">
        <v>43</v>
      </c>
      <c r="J156" t="s">
        <v>87</v>
      </c>
      <c r="K156" t="s">
        <v>23</v>
      </c>
      <c r="L156">
        <v>5</v>
      </c>
      <c r="M156">
        <v>9900</v>
      </c>
      <c r="N156" t="s">
        <v>24</v>
      </c>
      <c r="O156" t="s">
        <v>35</v>
      </c>
      <c r="P156">
        <v>49500</v>
      </c>
    </row>
    <row r="157" spans="1:16">
      <c r="A157" t="s">
        <v>269</v>
      </c>
      <c r="B157" s="5">
        <v>46124</v>
      </c>
      <c r="C157" s="6">
        <v>46134</v>
      </c>
      <c r="D157" t="s">
        <v>43</v>
      </c>
      <c r="E157" t="s">
        <v>27</v>
      </c>
      <c r="F157" t="s">
        <v>89</v>
      </c>
      <c r="G157" t="s">
        <v>90</v>
      </c>
      <c r="H157" t="s">
        <v>121</v>
      </c>
      <c r="I157" t="s">
        <v>26</v>
      </c>
      <c r="J157" t="s">
        <v>122</v>
      </c>
      <c r="K157" t="s">
        <v>23</v>
      </c>
      <c r="L157">
        <v>5</v>
      </c>
      <c r="M157">
        <v>80</v>
      </c>
      <c r="N157" t="s">
        <v>41</v>
      </c>
      <c r="O157" t="s">
        <v>25</v>
      </c>
      <c r="P157">
        <v>400</v>
      </c>
    </row>
    <row r="158" spans="1:16">
      <c r="A158" t="s">
        <v>270</v>
      </c>
      <c r="B158" s="5">
        <v>46094</v>
      </c>
      <c r="C158" s="6">
        <v>46100</v>
      </c>
      <c r="D158" t="s">
        <v>30</v>
      </c>
      <c r="E158" t="s">
        <v>54</v>
      </c>
      <c r="F158" t="s">
        <v>40</v>
      </c>
      <c r="G158" t="s">
        <v>47</v>
      </c>
      <c r="H158" t="s">
        <v>111</v>
      </c>
      <c r="I158" t="s">
        <v>43</v>
      </c>
      <c r="J158" t="s">
        <v>112</v>
      </c>
      <c r="K158" t="s">
        <v>81</v>
      </c>
      <c r="L158">
        <v>10</v>
      </c>
      <c r="M158">
        <v>2000</v>
      </c>
      <c r="N158" t="s">
        <v>41</v>
      </c>
      <c r="O158" t="s">
        <v>35</v>
      </c>
      <c r="P158">
        <v>20000</v>
      </c>
    </row>
    <row r="159" spans="1:16">
      <c r="A159" t="s">
        <v>271</v>
      </c>
      <c r="B159" s="5">
        <v>46031</v>
      </c>
      <c r="C159" s="6">
        <v>46037</v>
      </c>
      <c r="D159" t="s">
        <v>26</v>
      </c>
      <c r="E159" t="s">
        <v>54</v>
      </c>
      <c r="F159" t="s">
        <v>40</v>
      </c>
      <c r="G159" t="s">
        <v>39</v>
      </c>
      <c r="H159" t="s">
        <v>111</v>
      </c>
      <c r="I159" t="s">
        <v>43</v>
      </c>
      <c r="J159" t="s">
        <v>112</v>
      </c>
      <c r="K159" t="s">
        <v>36</v>
      </c>
      <c r="L159">
        <v>24</v>
      </c>
      <c r="M159">
        <v>4000</v>
      </c>
      <c r="N159" t="s">
        <v>24</v>
      </c>
      <c r="O159" t="s">
        <v>35</v>
      </c>
      <c r="P159">
        <v>96000</v>
      </c>
    </row>
    <row r="160" spans="1:16">
      <c r="A160" t="s">
        <v>272</v>
      </c>
      <c r="B160" s="5">
        <v>46268</v>
      </c>
      <c r="C160" s="6">
        <v>46271</v>
      </c>
      <c r="D160" t="s">
        <v>30</v>
      </c>
      <c r="E160" t="s">
        <v>78</v>
      </c>
      <c r="F160" t="s">
        <v>89</v>
      </c>
      <c r="G160" t="s">
        <v>95</v>
      </c>
      <c r="H160" t="s">
        <v>121</v>
      </c>
      <c r="I160" t="s">
        <v>30</v>
      </c>
      <c r="J160" t="s">
        <v>122</v>
      </c>
      <c r="K160" t="s">
        <v>23</v>
      </c>
      <c r="L160">
        <v>19</v>
      </c>
      <c r="M160">
        <v>8300</v>
      </c>
      <c r="N160" t="s">
        <v>24</v>
      </c>
      <c r="O160" t="s">
        <v>35</v>
      </c>
      <c r="P160">
        <v>157700</v>
      </c>
    </row>
    <row r="161" spans="1:16">
      <c r="A161" t="s">
        <v>273</v>
      </c>
      <c r="B161" s="5">
        <v>46100</v>
      </c>
      <c r="C161" s="6">
        <v>46107</v>
      </c>
      <c r="D161" t="s">
        <v>33</v>
      </c>
      <c r="E161" t="s">
        <v>31</v>
      </c>
      <c r="F161" t="s">
        <v>40</v>
      </c>
      <c r="G161" t="s">
        <v>39</v>
      </c>
      <c r="H161" t="s">
        <v>79</v>
      </c>
      <c r="I161" t="s">
        <v>43</v>
      </c>
      <c r="J161" t="s">
        <v>80</v>
      </c>
      <c r="K161" t="s">
        <v>274</v>
      </c>
      <c r="L161">
        <v>24</v>
      </c>
      <c r="M161">
        <v>3600</v>
      </c>
      <c r="N161" t="s">
        <v>24</v>
      </c>
      <c r="O161" t="s">
        <v>37</v>
      </c>
      <c r="P161">
        <v>86400</v>
      </c>
    </row>
    <row r="162" spans="1:16">
      <c r="A162" t="s">
        <v>275</v>
      </c>
      <c r="B162" s="5">
        <v>46267</v>
      </c>
      <c r="C162" s="6">
        <v>46276</v>
      </c>
      <c r="D162" t="s">
        <v>19</v>
      </c>
      <c r="E162" t="s">
        <v>20</v>
      </c>
      <c r="F162" t="s">
        <v>99</v>
      </c>
      <c r="G162" t="s">
        <v>100</v>
      </c>
      <c r="H162" t="s">
        <v>121</v>
      </c>
      <c r="I162" t="s">
        <v>33</v>
      </c>
      <c r="J162" t="s">
        <v>122</v>
      </c>
      <c r="K162" t="s">
        <v>81</v>
      </c>
      <c r="L162">
        <v>11</v>
      </c>
      <c r="M162">
        <v>6700</v>
      </c>
      <c r="N162" t="s">
        <v>41</v>
      </c>
      <c r="O162" t="s">
        <v>37</v>
      </c>
      <c r="P162">
        <v>73700</v>
      </c>
    </row>
    <row r="163" spans="1:16">
      <c r="A163" t="s">
        <v>276</v>
      </c>
      <c r="B163" s="5">
        <v>46149</v>
      </c>
      <c r="C163" s="6">
        <v>46154</v>
      </c>
      <c r="D163" t="s">
        <v>30</v>
      </c>
      <c r="E163" t="s">
        <v>34</v>
      </c>
      <c r="F163" t="s">
        <v>89</v>
      </c>
      <c r="G163" t="s">
        <v>143</v>
      </c>
      <c r="H163" t="s">
        <v>86</v>
      </c>
      <c r="I163" t="s">
        <v>19</v>
      </c>
      <c r="J163" t="s">
        <v>87</v>
      </c>
      <c r="K163" t="s">
        <v>81</v>
      </c>
      <c r="L163">
        <v>7</v>
      </c>
      <c r="M163">
        <v>40</v>
      </c>
      <c r="N163" t="s">
        <v>32</v>
      </c>
      <c r="O163" t="s">
        <v>35</v>
      </c>
      <c r="P163">
        <v>280</v>
      </c>
    </row>
    <row r="164" spans="1:16">
      <c r="A164" t="s">
        <v>277</v>
      </c>
      <c r="B164" s="5">
        <v>46085</v>
      </c>
      <c r="C164" s="6">
        <v>46095</v>
      </c>
      <c r="D164" t="s">
        <v>33</v>
      </c>
      <c r="E164" t="s">
        <v>34</v>
      </c>
      <c r="F164" t="s">
        <v>89</v>
      </c>
      <c r="G164" t="s">
        <v>90</v>
      </c>
      <c r="H164" t="s">
        <v>121</v>
      </c>
      <c r="I164" t="s">
        <v>30</v>
      </c>
      <c r="J164" t="s">
        <v>122</v>
      </c>
      <c r="K164" t="s">
        <v>36</v>
      </c>
      <c r="L164">
        <v>2</v>
      </c>
      <c r="M164">
        <v>180</v>
      </c>
      <c r="N164" t="s">
        <v>41</v>
      </c>
      <c r="O164" t="s">
        <v>114</v>
      </c>
      <c r="P164">
        <v>360</v>
      </c>
    </row>
    <row r="165" spans="1:16">
      <c r="A165" t="s">
        <v>278</v>
      </c>
      <c r="B165" s="5">
        <v>46154</v>
      </c>
      <c r="C165" s="6">
        <v>46166</v>
      </c>
      <c r="D165" t="s">
        <v>30</v>
      </c>
      <c r="E165" t="s">
        <v>20</v>
      </c>
      <c r="F165" t="s">
        <v>22</v>
      </c>
      <c r="G165" t="s">
        <v>110</v>
      </c>
      <c r="H165" t="s">
        <v>105</v>
      </c>
      <c r="I165" t="s">
        <v>43</v>
      </c>
      <c r="J165" t="s">
        <v>106</v>
      </c>
      <c r="K165" t="s">
        <v>36</v>
      </c>
      <c r="L165">
        <v>18</v>
      </c>
      <c r="M165">
        <v>34600</v>
      </c>
      <c r="N165" t="s">
        <v>41</v>
      </c>
      <c r="O165" t="s">
        <v>35</v>
      </c>
      <c r="P165">
        <v>622800</v>
      </c>
    </row>
    <row r="166" spans="1:16">
      <c r="A166" t="s">
        <v>279</v>
      </c>
      <c r="B166" s="5">
        <v>46294</v>
      </c>
      <c r="C166" s="6">
        <v>46298</v>
      </c>
      <c r="D166" t="s">
        <v>26</v>
      </c>
      <c r="E166" t="s">
        <v>27</v>
      </c>
      <c r="F166" t="s">
        <v>99</v>
      </c>
      <c r="G166" t="s">
        <v>116</v>
      </c>
      <c r="H166" t="s">
        <v>79</v>
      </c>
      <c r="I166" t="s">
        <v>33</v>
      </c>
      <c r="J166" t="s">
        <v>80</v>
      </c>
      <c r="K166" t="s">
        <v>36</v>
      </c>
      <c r="L166">
        <v>23</v>
      </c>
      <c r="M166">
        <v>6600</v>
      </c>
      <c r="N166" t="s">
        <v>32</v>
      </c>
      <c r="O166" t="s">
        <v>35</v>
      </c>
      <c r="P166">
        <v>151800</v>
      </c>
    </row>
    <row r="167" spans="1:16">
      <c r="A167" t="s">
        <v>280</v>
      </c>
      <c r="B167" s="5">
        <v>46103</v>
      </c>
      <c r="C167" s="6">
        <v>46110</v>
      </c>
      <c r="D167" t="s">
        <v>33</v>
      </c>
      <c r="E167" t="s">
        <v>78</v>
      </c>
      <c r="F167" t="s">
        <v>99</v>
      </c>
      <c r="G167" t="s">
        <v>137</v>
      </c>
      <c r="H167" t="s">
        <v>105</v>
      </c>
      <c r="I167" t="s">
        <v>30</v>
      </c>
      <c r="J167" t="s">
        <v>106</v>
      </c>
      <c r="K167" t="s">
        <v>36</v>
      </c>
      <c r="L167">
        <v>11</v>
      </c>
      <c r="M167">
        <v>14000</v>
      </c>
      <c r="N167" t="s">
        <v>41</v>
      </c>
      <c r="O167" t="s">
        <v>35</v>
      </c>
      <c r="P167">
        <v>154000</v>
      </c>
    </row>
    <row r="168" spans="1:16">
      <c r="A168" t="s">
        <v>281</v>
      </c>
      <c r="B168" s="5">
        <v>46042</v>
      </c>
      <c r="C168" s="6">
        <v>46045</v>
      </c>
      <c r="D168" t="s">
        <v>30</v>
      </c>
      <c r="E168" t="s">
        <v>27</v>
      </c>
      <c r="F168" t="s">
        <v>22</v>
      </c>
      <c r="G168" t="s">
        <v>52</v>
      </c>
      <c r="H168" t="s">
        <v>121</v>
      </c>
      <c r="I168" t="s">
        <v>33</v>
      </c>
      <c r="J168" t="s">
        <v>122</v>
      </c>
      <c r="K168" t="s">
        <v>36</v>
      </c>
      <c r="L168">
        <v>6</v>
      </c>
      <c r="M168">
        <v>21600</v>
      </c>
      <c r="N168" t="s">
        <v>41</v>
      </c>
      <c r="O168" t="s">
        <v>25</v>
      </c>
      <c r="P168">
        <v>129600</v>
      </c>
    </row>
    <row r="169" spans="1:16">
      <c r="A169" t="s">
        <v>282</v>
      </c>
      <c r="B169" s="5">
        <v>46194</v>
      </c>
      <c r="C169" s="6">
        <v>46199</v>
      </c>
      <c r="D169" t="s">
        <v>43</v>
      </c>
      <c r="E169" t="s">
        <v>31</v>
      </c>
      <c r="F169" t="s">
        <v>22</v>
      </c>
      <c r="G169" t="s">
        <v>110</v>
      </c>
      <c r="H169" t="s">
        <v>105</v>
      </c>
      <c r="I169" t="s">
        <v>33</v>
      </c>
      <c r="J169" t="s">
        <v>106</v>
      </c>
      <c r="K169" t="s">
        <v>23</v>
      </c>
      <c r="L169">
        <v>17</v>
      </c>
      <c r="M169">
        <v>17400</v>
      </c>
      <c r="N169" t="s">
        <v>32</v>
      </c>
      <c r="O169" t="s">
        <v>35</v>
      </c>
      <c r="P169">
        <v>295800</v>
      </c>
    </row>
    <row r="170" spans="1:16">
      <c r="A170" t="s">
        <v>283</v>
      </c>
      <c r="B170" s="5">
        <v>46257</v>
      </c>
      <c r="C170" s="6">
        <v>46268</v>
      </c>
      <c r="D170" t="s">
        <v>30</v>
      </c>
      <c r="E170" t="s">
        <v>27</v>
      </c>
      <c r="F170" t="s">
        <v>22</v>
      </c>
      <c r="G170" t="s">
        <v>110</v>
      </c>
      <c r="H170" t="s">
        <v>86</v>
      </c>
      <c r="I170" t="s">
        <v>19</v>
      </c>
      <c r="J170" t="s">
        <v>87</v>
      </c>
      <c r="K170" t="s">
        <v>36</v>
      </c>
      <c r="L170">
        <v>19</v>
      </c>
      <c r="M170">
        <v>20300</v>
      </c>
      <c r="N170" t="s">
        <v>29</v>
      </c>
      <c r="O170" t="s">
        <v>35</v>
      </c>
      <c r="P170">
        <v>385700</v>
      </c>
    </row>
    <row r="171" spans="1:16">
      <c r="A171" t="s">
        <v>284</v>
      </c>
      <c r="B171" s="5">
        <v>46190</v>
      </c>
      <c r="C171" s="6">
        <v>46192</v>
      </c>
      <c r="D171" t="s">
        <v>26</v>
      </c>
      <c r="E171" t="s">
        <v>20</v>
      </c>
      <c r="F171" t="s">
        <v>40</v>
      </c>
      <c r="G171" t="s">
        <v>102</v>
      </c>
      <c r="H171" t="s">
        <v>121</v>
      </c>
      <c r="I171" t="s">
        <v>30</v>
      </c>
      <c r="J171" t="s">
        <v>122</v>
      </c>
      <c r="K171" t="s">
        <v>36</v>
      </c>
      <c r="L171">
        <v>11</v>
      </c>
      <c r="M171">
        <v>4700</v>
      </c>
      <c r="N171" t="s">
        <v>29</v>
      </c>
      <c r="O171" t="s">
        <v>35</v>
      </c>
      <c r="P171">
        <v>51700</v>
      </c>
    </row>
    <row r="172" spans="1:16">
      <c r="A172" t="s">
        <v>285</v>
      </c>
      <c r="B172" s="5">
        <v>46159</v>
      </c>
      <c r="C172" s="6">
        <v>46165</v>
      </c>
      <c r="D172" t="s">
        <v>43</v>
      </c>
      <c r="E172" t="s">
        <v>78</v>
      </c>
      <c r="F172" t="s">
        <v>40</v>
      </c>
      <c r="G172" t="s">
        <v>47</v>
      </c>
      <c r="H172" t="s">
        <v>86</v>
      </c>
      <c r="I172" t="s">
        <v>43</v>
      </c>
      <c r="J172" t="s">
        <v>87</v>
      </c>
      <c r="K172" t="s">
        <v>23</v>
      </c>
      <c r="L172">
        <v>9</v>
      </c>
      <c r="M172">
        <v>1800</v>
      </c>
      <c r="N172" t="s">
        <v>41</v>
      </c>
      <c r="O172" t="s">
        <v>37</v>
      </c>
      <c r="P172">
        <v>16200</v>
      </c>
    </row>
    <row r="173" spans="1:16">
      <c r="A173" t="s">
        <v>286</v>
      </c>
      <c r="B173" s="5">
        <v>46180</v>
      </c>
      <c r="C173" s="6">
        <v>46183</v>
      </c>
      <c r="D173" t="s">
        <v>43</v>
      </c>
      <c r="E173" t="s">
        <v>78</v>
      </c>
      <c r="F173" t="s">
        <v>22</v>
      </c>
      <c r="G173" t="s">
        <v>21</v>
      </c>
      <c r="H173" t="s">
        <v>121</v>
      </c>
      <c r="I173" t="s">
        <v>19</v>
      </c>
      <c r="J173" t="s">
        <v>122</v>
      </c>
      <c r="K173" t="s">
        <v>81</v>
      </c>
      <c r="L173">
        <v>4</v>
      </c>
      <c r="M173">
        <v>63800</v>
      </c>
      <c r="N173" t="s">
        <v>41</v>
      </c>
      <c r="O173" t="s">
        <v>35</v>
      </c>
      <c r="P173">
        <v>255200</v>
      </c>
    </row>
    <row r="174" spans="1:16">
      <c r="A174" t="s">
        <v>287</v>
      </c>
      <c r="B174" s="5">
        <v>46267</v>
      </c>
      <c r="C174" s="6">
        <v>46270</v>
      </c>
      <c r="D174" t="s">
        <v>43</v>
      </c>
      <c r="E174" t="s">
        <v>34</v>
      </c>
      <c r="F174" t="s">
        <v>99</v>
      </c>
      <c r="G174" t="s">
        <v>116</v>
      </c>
      <c r="H174" t="s">
        <v>105</v>
      </c>
      <c r="I174" t="s">
        <v>33</v>
      </c>
      <c r="J174" t="s">
        <v>106</v>
      </c>
      <c r="K174" t="s">
        <v>81</v>
      </c>
      <c r="L174">
        <v>18</v>
      </c>
      <c r="M174">
        <v>7700</v>
      </c>
      <c r="N174" t="s">
        <v>32</v>
      </c>
      <c r="O174" t="s">
        <v>37</v>
      </c>
      <c r="P174">
        <v>138600</v>
      </c>
    </row>
    <row r="175" spans="1:16">
      <c r="A175" t="s">
        <v>288</v>
      </c>
      <c r="B175" s="5">
        <v>46064</v>
      </c>
      <c r="C175" s="6">
        <v>46073</v>
      </c>
      <c r="D175" t="s">
        <v>43</v>
      </c>
      <c r="E175" t="s">
        <v>78</v>
      </c>
      <c r="F175" t="s">
        <v>99</v>
      </c>
      <c r="G175" t="s">
        <v>116</v>
      </c>
      <c r="H175" t="s">
        <v>105</v>
      </c>
      <c r="I175" t="s">
        <v>19</v>
      </c>
      <c r="J175" t="s">
        <v>106</v>
      </c>
      <c r="K175" t="s">
        <v>23</v>
      </c>
      <c r="L175">
        <v>19</v>
      </c>
      <c r="M175">
        <v>14700</v>
      </c>
      <c r="N175" t="s">
        <v>24</v>
      </c>
      <c r="O175" t="s">
        <v>35</v>
      </c>
      <c r="P175">
        <v>279300</v>
      </c>
    </row>
    <row r="176" spans="1:16">
      <c r="A176" t="s">
        <v>289</v>
      </c>
      <c r="B176" s="5">
        <v>46190</v>
      </c>
      <c r="C176" s="6">
        <v>46199</v>
      </c>
      <c r="D176" t="s">
        <v>26</v>
      </c>
      <c r="E176" t="s">
        <v>78</v>
      </c>
      <c r="F176" t="s">
        <v>99</v>
      </c>
      <c r="G176" t="s">
        <v>116</v>
      </c>
      <c r="H176" t="s">
        <v>105</v>
      </c>
      <c r="I176" t="s">
        <v>30</v>
      </c>
      <c r="J176" t="s">
        <v>106</v>
      </c>
      <c r="K176" t="s">
        <v>81</v>
      </c>
      <c r="L176">
        <v>19</v>
      </c>
      <c r="M176">
        <v>8100</v>
      </c>
      <c r="N176" t="s">
        <v>32</v>
      </c>
      <c r="O176" t="s">
        <v>35</v>
      </c>
      <c r="P176">
        <v>153900</v>
      </c>
    </row>
    <row r="177" spans="1:16">
      <c r="A177" t="s">
        <v>290</v>
      </c>
      <c r="B177" s="5">
        <v>46090</v>
      </c>
      <c r="C177" s="6">
        <v>46099</v>
      </c>
      <c r="D177" t="s">
        <v>33</v>
      </c>
      <c r="E177" t="s">
        <v>31</v>
      </c>
      <c r="F177" t="s">
        <v>40</v>
      </c>
      <c r="G177" t="s">
        <v>44</v>
      </c>
      <c r="H177" t="s">
        <v>121</v>
      </c>
      <c r="I177" t="s">
        <v>26</v>
      </c>
      <c r="J177" t="s">
        <v>122</v>
      </c>
      <c r="K177" t="s">
        <v>81</v>
      </c>
      <c r="L177">
        <v>15</v>
      </c>
      <c r="M177">
        <v>2100</v>
      </c>
      <c r="N177" t="s">
        <v>41</v>
      </c>
      <c r="O177" t="s">
        <v>37</v>
      </c>
      <c r="P177">
        <v>31500</v>
      </c>
    </row>
    <row r="178" spans="1:16">
      <c r="A178" t="s">
        <v>291</v>
      </c>
      <c r="B178" s="5">
        <v>46024</v>
      </c>
      <c r="C178" s="6">
        <v>46036</v>
      </c>
      <c r="D178" t="s">
        <v>43</v>
      </c>
      <c r="E178" t="s">
        <v>27</v>
      </c>
      <c r="F178" t="s">
        <v>40</v>
      </c>
      <c r="G178" t="s">
        <v>39</v>
      </c>
      <c r="H178" t="s">
        <v>79</v>
      </c>
      <c r="I178" t="s">
        <v>26</v>
      </c>
      <c r="J178" t="s">
        <v>80</v>
      </c>
      <c r="K178" t="s">
        <v>36</v>
      </c>
      <c r="L178">
        <v>12</v>
      </c>
      <c r="M178">
        <v>6200</v>
      </c>
      <c r="N178" t="s">
        <v>24</v>
      </c>
      <c r="O178" t="s">
        <v>35</v>
      </c>
      <c r="P178">
        <v>74400</v>
      </c>
    </row>
    <row r="179" spans="1:16">
      <c r="A179" t="s">
        <v>292</v>
      </c>
      <c r="B179" s="5">
        <v>46039</v>
      </c>
      <c r="C179" s="6">
        <v>46044</v>
      </c>
      <c r="D179" t="s">
        <v>30</v>
      </c>
      <c r="E179" t="s">
        <v>20</v>
      </c>
      <c r="F179" t="s">
        <v>22</v>
      </c>
      <c r="G179" t="s">
        <v>21</v>
      </c>
      <c r="H179" t="s">
        <v>121</v>
      </c>
      <c r="I179" t="s">
        <v>33</v>
      </c>
      <c r="J179" t="s">
        <v>122</v>
      </c>
      <c r="K179" t="s">
        <v>36</v>
      </c>
      <c r="L179">
        <v>13</v>
      </c>
      <c r="M179">
        <v>64100</v>
      </c>
      <c r="N179" t="s">
        <v>32</v>
      </c>
      <c r="O179" t="s">
        <v>25</v>
      </c>
      <c r="P179">
        <v>833300</v>
      </c>
    </row>
    <row r="180" spans="1:16">
      <c r="A180" t="s">
        <v>293</v>
      </c>
      <c r="B180" s="5">
        <v>46091</v>
      </c>
      <c r="C180" s="6">
        <v>46102</v>
      </c>
      <c r="D180" t="s">
        <v>26</v>
      </c>
      <c r="E180" t="s">
        <v>20</v>
      </c>
      <c r="F180" t="s">
        <v>40</v>
      </c>
      <c r="G180" t="s">
        <v>102</v>
      </c>
      <c r="H180" t="s">
        <v>111</v>
      </c>
      <c r="I180" t="s">
        <v>43</v>
      </c>
      <c r="J180" t="s">
        <v>112</v>
      </c>
      <c r="K180" t="s">
        <v>36</v>
      </c>
      <c r="L180">
        <v>17</v>
      </c>
      <c r="M180">
        <v>2000</v>
      </c>
      <c r="N180" t="s">
        <v>29</v>
      </c>
      <c r="O180" t="s">
        <v>37</v>
      </c>
      <c r="P180">
        <v>34000</v>
      </c>
    </row>
    <row r="181" spans="1:16">
      <c r="A181" t="s">
        <v>108</v>
      </c>
      <c r="B181" s="5">
        <v>46173</v>
      </c>
      <c r="C181" s="6">
        <v>46180</v>
      </c>
      <c r="D181" t="s">
        <v>33</v>
      </c>
      <c r="E181" t="s">
        <v>27</v>
      </c>
      <c r="F181" t="s">
        <v>89</v>
      </c>
      <c r="G181" t="s">
        <v>90</v>
      </c>
      <c r="H181" t="s">
        <v>96</v>
      </c>
      <c r="I181" t="s">
        <v>19</v>
      </c>
      <c r="J181" t="s">
        <v>97</v>
      </c>
      <c r="K181" t="s">
        <v>81</v>
      </c>
      <c r="L181">
        <v>25</v>
      </c>
      <c r="M181">
        <v>80</v>
      </c>
      <c r="N181" t="s">
        <v>29</v>
      </c>
      <c r="O181" t="s">
        <v>35</v>
      </c>
      <c r="P181">
        <v>2000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AFD76-3886-45A8-8FEF-D251A47F43D1}">
  <dimension ref="A1:L25"/>
  <sheetViews>
    <sheetView topLeftCell="B1" workbookViewId="0">
      <selection activeCell="F2" sqref="F2:F21"/>
    </sheetView>
  </sheetViews>
  <sheetFormatPr defaultRowHeight="14.4"/>
  <cols>
    <col min="2" max="2" width="9.77734375" customWidth="1"/>
    <col min="3" max="3" width="16.109375" customWidth="1"/>
    <col min="5" max="6" width="15.5546875" customWidth="1"/>
    <col min="8" max="8" width="14.6640625" customWidth="1"/>
    <col min="9" max="9" width="13.5546875" customWidth="1"/>
    <col min="10" max="10" width="15.77734375" customWidth="1"/>
  </cols>
  <sheetData>
    <row r="1" spans="1:12">
      <c r="A1" s="4" t="s">
        <v>294</v>
      </c>
      <c r="B1" s="4" t="s">
        <v>295</v>
      </c>
      <c r="C1" s="4" t="s">
        <v>296</v>
      </c>
      <c r="D1" s="4" t="s">
        <v>297</v>
      </c>
      <c r="E1" s="4" t="s">
        <v>75</v>
      </c>
      <c r="F1" s="4" t="s">
        <v>298</v>
      </c>
      <c r="G1" s="4" t="s">
        <v>299</v>
      </c>
      <c r="H1" s="4" t="s">
        <v>300</v>
      </c>
      <c r="I1" s="4" t="s">
        <v>301</v>
      </c>
      <c r="J1" s="4" t="s">
        <v>302</v>
      </c>
      <c r="K1" s="4" t="s">
        <v>303</v>
      </c>
      <c r="L1" s="4" t="s">
        <v>304</v>
      </c>
    </row>
    <row r="2" spans="1:12">
      <c r="A2">
        <v>1</v>
      </c>
      <c r="B2">
        <v>1001</v>
      </c>
      <c r="C2" s="4" t="s">
        <v>305</v>
      </c>
      <c r="D2" s="4" t="s">
        <v>306</v>
      </c>
      <c r="E2" s="7" t="s">
        <v>307</v>
      </c>
      <c r="F2" s="4" t="s">
        <v>308</v>
      </c>
      <c r="G2">
        <v>2</v>
      </c>
      <c r="H2" s="4" t="str">
        <f>TRIM(Table4[[#This Row],[customer_name]])</f>
        <v>Rahul sharma</v>
      </c>
      <c r="I2" s="4" t="str">
        <f>LOWER(Table4[[#This Row],[clean_name]])</f>
        <v>rahul sharma</v>
      </c>
      <c r="J2" s="4" t="str">
        <f>UPPER(Table4[[#This Row],[lower]])</f>
        <v>RAHUL SHARMA</v>
      </c>
      <c r="K2" s="4" t="str">
        <f>PROPER(TRIM(Table4[[#This Row],[city]]))</f>
        <v>Pune</v>
      </c>
      <c r="L2" s="4" t="str">
        <f>TRIM(Table4[[#This Row],[product]])</f>
        <v>laptop</v>
      </c>
    </row>
    <row r="3" spans="1:12">
      <c r="A3">
        <v>2</v>
      </c>
      <c r="B3">
        <v>1002</v>
      </c>
      <c r="C3" s="4" t="s">
        <v>309</v>
      </c>
      <c r="D3" s="4" t="s">
        <v>30</v>
      </c>
      <c r="E3" s="7" t="s">
        <v>310</v>
      </c>
      <c r="F3" s="4" t="s">
        <v>311</v>
      </c>
      <c r="G3">
        <v>3</v>
      </c>
      <c r="H3" s="4" t="str">
        <f>TRIM(Table4[[#This Row],[customer_name]])</f>
        <v>Priya mehta</v>
      </c>
      <c r="I3" s="4" t="str">
        <f>LOWER(Table4[[#This Row],[clean_name]])</f>
        <v>priya mehta</v>
      </c>
      <c r="J3" s="4" t="str">
        <f>UPPER(Table4[[#This Row],[lower]])</f>
        <v>PRIYA MEHTA</v>
      </c>
      <c r="K3" s="4" t="str">
        <f>PROPER(TRIM(Table4[[#This Row],[city]]))</f>
        <v>Mumbai</v>
      </c>
      <c r="L3" s="4" t="str">
        <f>TRIM(Table4[[#This Row],[product]])</f>
        <v>monitor</v>
      </c>
    </row>
    <row r="4" spans="1:12">
      <c r="A4">
        <v>3</v>
      </c>
      <c r="B4">
        <v>1003</v>
      </c>
      <c r="C4" s="4" t="s">
        <v>312</v>
      </c>
      <c r="D4" s="4" t="s">
        <v>306</v>
      </c>
      <c r="E4" s="7" t="s">
        <v>313</v>
      </c>
      <c r="F4" s="4" t="s">
        <v>314</v>
      </c>
      <c r="G4">
        <v>5</v>
      </c>
      <c r="H4" s="4" t="str">
        <f>TRIM(Table4[[#This Row],[customer_name]])</f>
        <v>Amit patel</v>
      </c>
      <c r="I4" s="4" t="str">
        <f>LOWER(Table4[[#This Row],[clean_name]])</f>
        <v>amit patel</v>
      </c>
      <c r="J4" s="4" t="str">
        <f>UPPER(Table4[[#This Row],[lower]])</f>
        <v>AMIT PATEL</v>
      </c>
      <c r="K4" s="4" t="str">
        <f>PROPER(TRIM(Table4[[#This Row],[city]]))</f>
        <v>Pune</v>
      </c>
      <c r="L4" s="4" t="str">
        <f>TRIM(Table4[[#This Row],[product]])</f>
        <v>keyboard</v>
      </c>
    </row>
    <row r="5" spans="1:12">
      <c r="A5">
        <v>4</v>
      </c>
      <c r="B5">
        <v>1004</v>
      </c>
      <c r="C5" s="4" t="s">
        <v>315</v>
      </c>
      <c r="D5" s="4" t="s">
        <v>19</v>
      </c>
      <c r="E5" s="7" t="s">
        <v>316</v>
      </c>
      <c r="F5" t="s">
        <v>317</v>
      </c>
      <c r="G5">
        <v>4</v>
      </c>
      <c r="H5" s="4" t="str">
        <f>TRIM(Table4[[#This Row],[customer_name]])</f>
        <v>Neha joshi</v>
      </c>
      <c r="I5" s="4" t="str">
        <f>LOWER(Table4[[#This Row],[clean_name]])</f>
        <v>neha joshi</v>
      </c>
      <c r="J5" s="4" t="str">
        <f>UPPER(Table4[[#This Row],[lower]])</f>
        <v>NEHA JOSHI</v>
      </c>
      <c r="K5" s="4" t="str">
        <f>PROPER(TRIM(Table4[[#This Row],[city]]))</f>
        <v>Nashik</v>
      </c>
      <c r="L5" s="4" t="str">
        <f>TRIM(Table4[[#This Row],[product]])</f>
        <v>mouse</v>
      </c>
    </row>
    <row r="6" spans="1:12">
      <c r="A6">
        <v>5</v>
      </c>
      <c r="B6">
        <v>1005</v>
      </c>
      <c r="C6" s="4" t="s">
        <v>318</v>
      </c>
      <c r="D6" s="4" t="s">
        <v>30</v>
      </c>
      <c r="F6" s="4" t="s">
        <v>308</v>
      </c>
      <c r="G6">
        <v>1</v>
      </c>
      <c r="H6" s="4" t="str">
        <f>TRIM(Table4[[#This Row],[customer_name]])</f>
        <v>Roshani kumari</v>
      </c>
      <c r="I6" s="4" t="str">
        <f>LOWER(Table4[[#This Row],[clean_name]])</f>
        <v>roshani kumari</v>
      </c>
      <c r="J6" s="4" t="str">
        <f>UPPER(Table4[[#This Row],[lower]])</f>
        <v>ROSHANI KUMARI</v>
      </c>
      <c r="K6" s="4" t="str">
        <f>PROPER(TRIM(Table4[[#This Row],[city]]))</f>
        <v>Mumbai</v>
      </c>
      <c r="L6" s="4" t="str">
        <f>TRIM(Table4[[#This Row],[product]])</f>
        <v>laptop</v>
      </c>
    </row>
    <row r="7" spans="1:12">
      <c r="A7">
        <v>6</v>
      </c>
      <c r="B7">
        <v>1006</v>
      </c>
      <c r="C7" s="4" t="s">
        <v>319</v>
      </c>
      <c r="D7" s="4" t="s">
        <v>306</v>
      </c>
      <c r="E7" s="7" t="s">
        <v>320</v>
      </c>
      <c r="F7" t="s">
        <v>321</v>
      </c>
      <c r="G7">
        <v>6</v>
      </c>
      <c r="H7" s="4" t="str">
        <f>TRIM(Table4[[#This Row],[customer_name]])</f>
        <v>Sneha shah</v>
      </c>
      <c r="I7" s="4" t="str">
        <f>LOWER(Table4[[#This Row],[clean_name]])</f>
        <v>sneha shah</v>
      </c>
      <c r="J7" s="4" t="str">
        <f>UPPER(Table4[[#This Row],[lower]])</f>
        <v>SNEHA SHAH</v>
      </c>
      <c r="K7" s="4" t="str">
        <f>PROPER(TRIM(Table4[[#This Row],[city]]))</f>
        <v>Pune</v>
      </c>
      <c r="L7" s="4" t="str">
        <f>TRIM(Table4[[#This Row],[product]])</f>
        <v>headphones</v>
      </c>
    </row>
    <row r="8" spans="1:12">
      <c r="A8">
        <v>7</v>
      </c>
      <c r="B8">
        <v>1007</v>
      </c>
      <c r="C8" s="4" t="s">
        <v>322</v>
      </c>
      <c r="D8" s="4" t="s">
        <v>33</v>
      </c>
      <c r="E8" s="7" t="s">
        <v>323</v>
      </c>
      <c r="F8" t="s">
        <v>324</v>
      </c>
      <c r="G8">
        <v>2</v>
      </c>
      <c r="H8" s="4" t="str">
        <f>TRIM(Table4[[#This Row],[customer_name]])</f>
        <v>Vikas more</v>
      </c>
      <c r="I8" s="4" t="str">
        <f>LOWER(Table4[[#This Row],[clean_name]])</f>
        <v>vikas more</v>
      </c>
      <c r="J8" s="4" t="str">
        <f>UPPER(Table4[[#This Row],[lower]])</f>
        <v>VIKAS MORE</v>
      </c>
      <c r="K8" s="4" t="str">
        <f>PROPER(TRIM(Table4[[#This Row],[city]]))</f>
        <v>Nagpur</v>
      </c>
      <c r="L8" s="4" t="str">
        <f>TRIM(Table4[[#This Row],[product]])</f>
        <v>printer</v>
      </c>
    </row>
    <row r="9" spans="1:12">
      <c r="A9">
        <v>8</v>
      </c>
      <c r="B9">
        <v>1008</v>
      </c>
      <c r="C9" s="4" t="s">
        <v>325</v>
      </c>
      <c r="D9" s="4" t="s">
        <v>26</v>
      </c>
      <c r="E9" s="7" t="s">
        <v>326</v>
      </c>
      <c r="F9" t="s">
        <v>311</v>
      </c>
      <c r="G9">
        <v>2</v>
      </c>
      <c r="H9" s="4" t="str">
        <f>TRIM(Table4[[#This Row],[customer_name]])</f>
        <v>Annjali rao</v>
      </c>
      <c r="I9" s="4" t="str">
        <f>LOWER(Table4[[#This Row],[clean_name]])</f>
        <v>annjali rao</v>
      </c>
      <c r="J9" s="4" t="str">
        <f>UPPER(Table4[[#This Row],[lower]])</f>
        <v>ANNJALI RAO</v>
      </c>
      <c r="K9" s="4" t="str">
        <f>PROPER(TRIM(Table4[[#This Row],[city]]))</f>
        <v>Pune</v>
      </c>
      <c r="L9" s="4" t="str">
        <f>TRIM(Table4[[#This Row],[product]])</f>
        <v>monitor</v>
      </c>
    </row>
    <row r="10" spans="1:12">
      <c r="A10">
        <v>9</v>
      </c>
      <c r="B10">
        <v>1009</v>
      </c>
      <c r="C10" s="4" t="s">
        <v>327</v>
      </c>
      <c r="D10" s="4" t="s">
        <v>19</v>
      </c>
      <c r="E10" s="7" t="s">
        <v>328</v>
      </c>
      <c r="F10" t="s">
        <v>314</v>
      </c>
      <c r="G10">
        <v>7</v>
      </c>
      <c r="H10" s="4" t="str">
        <f>TRIM(Table4[[#This Row],[customer_name]])</f>
        <v>Karan Deshmukh</v>
      </c>
      <c r="I10" s="4" t="str">
        <f>LOWER(Table4[[#This Row],[clean_name]])</f>
        <v>karan deshmukh</v>
      </c>
      <c r="J10" s="4" t="str">
        <f>UPPER(Table4[[#This Row],[lower]])</f>
        <v>KARAN DESHMUKH</v>
      </c>
      <c r="K10" s="4" t="str">
        <f>PROPER(TRIM(Table4[[#This Row],[city]]))</f>
        <v>Nashik</v>
      </c>
      <c r="L10" s="4" t="str">
        <f>TRIM(Table4[[#This Row],[product]])</f>
        <v>keyboard</v>
      </c>
    </row>
    <row r="11" spans="1:12">
      <c r="A11">
        <v>10</v>
      </c>
      <c r="B11">
        <v>1010</v>
      </c>
      <c r="C11" s="4" t="s">
        <v>329</v>
      </c>
      <c r="D11" s="4" t="s">
        <v>30</v>
      </c>
      <c r="E11" s="7" t="s">
        <v>330</v>
      </c>
      <c r="F11" s="4" t="s">
        <v>317</v>
      </c>
      <c r="G11">
        <v>3</v>
      </c>
      <c r="H11" s="4" t="str">
        <f>TRIM(Table4[[#This Row],[customer_name]])</f>
        <v>Meera joshi</v>
      </c>
      <c r="I11" s="4" t="str">
        <f>LOWER(Table4[[#This Row],[clean_name]])</f>
        <v>meera joshi</v>
      </c>
      <c r="J11" s="4" t="str">
        <f>UPPER(Table4[[#This Row],[lower]])</f>
        <v>MEERA JOSHI</v>
      </c>
      <c r="K11" s="4" t="str">
        <f>PROPER(TRIM(Table4[[#This Row],[city]]))</f>
        <v>Mumbai</v>
      </c>
      <c r="L11" s="4" t="str">
        <f>TRIM(Table4[[#This Row],[product]])</f>
        <v>mouse</v>
      </c>
    </row>
    <row r="12" spans="1:12">
      <c r="A12">
        <v>11</v>
      </c>
      <c r="B12">
        <v>1011</v>
      </c>
      <c r="C12" s="4" t="s">
        <v>331</v>
      </c>
      <c r="D12" s="4" t="s">
        <v>26</v>
      </c>
      <c r="E12" s="7" t="s">
        <v>332</v>
      </c>
      <c r="F12" t="s">
        <v>308</v>
      </c>
      <c r="G12">
        <v>2</v>
      </c>
      <c r="H12" s="4" t="str">
        <f>TRIM(Table4[[#This Row],[customer_name]])</f>
        <v>Arjun kale</v>
      </c>
      <c r="I12" s="4" t="str">
        <f>LOWER(Table4[[#This Row],[clean_name]])</f>
        <v>arjun kale</v>
      </c>
      <c r="J12" s="4" t="str">
        <f>UPPER(Table4[[#This Row],[lower]])</f>
        <v>ARJUN KALE</v>
      </c>
      <c r="K12" s="4" t="str">
        <f>PROPER(TRIM(Table4[[#This Row],[city]]))</f>
        <v>Pune</v>
      </c>
      <c r="L12" s="4" t="str">
        <f>TRIM(Table4[[#This Row],[product]])</f>
        <v>laptop</v>
      </c>
    </row>
    <row r="13" spans="1:12">
      <c r="A13">
        <v>12</v>
      </c>
      <c r="B13">
        <v>1012</v>
      </c>
      <c r="C13" s="4" t="s">
        <v>333</v>
      </c>
      <c r="D13" s="4" t="s">
        <v>33</v>
      </c>
      <c r="E13" s="7" t="s">
        <v>334</v>
      </c>
      <c r="F13" t="s">
        <v>324</v>
      </c>
      <c r="G13">
        <v>1</v>
      </c>
      <c r="H13" s="4" t="str">
        <f>TRIM(Table4[[#This Row],[customer_name]])</f>
        <v>Pooja nair</v>
      </c>
      <c r="I13" s="4" t="str">
        <f>LOWER(Table4[[#This Row],[clean_name]])</f>
        <v>pooja nair</v>
      </c>
      <c r="J13" s="4" t="str">
        <f>UPPER(Table4[[#This Row],[lower]])</f>
        <v>POOJA NAIR</v>
      </c>
      <c r="K13" s="4" t="str">
        <f>PROPER(TRIM(Table4[[#This Row],[city]]))</f>
        <v>Nagpur</v>
      </c>
      <c r="L13" s="4" t="str">
        <f>TRIM(Table4[[#This Row],[product]])</f>
        <v>printer</v>
      </c>
    </row>
    <row r="14" spans="1:12">
      <c r="A14">
        <v>13</v>
      </c>
      <c r="B14">
        <v>1013</v>
      </c>
      <c r="C14" s="4" t="s">
        <v>335</v>
      </c>
      <c r="D14" s="4" t="s">
        <v>30</v>
      </c>
      <c r="E14" s="7" t="s">
        <v>336</v>
      </c>
      <c r="F14" t="s">
        <v>311</v>
      </c>
      <c r="G14">
        <v>4</v>
      </c>
      <c r="H14" s="4" t="str">
        <f>TRIM(Table4[[#This Row],[customer_name]])</f>
        <v>Ravi shah</v>
      </c>
      <c r="I14" s="4" t="str">
        <f>LOWER(Table4[[#This Row],[clean_name]])</f>
        <v>ravi shah</v>
      </c>
      <c r="J14" s="4" t="str">
        <f>UPPER(Table4[[#This Row],[lower]])</f>
        <v>RAVI SHAH</v>
      </c>
      <c r="K14" s="4" t="str">
        <f>PROPER(TRIM(Table4[[#This Row],[city]]))</f>
        <v>Mumbai</v>
      </c>
      <c r="L14" s="4" t="str">
        <f>TRIM(Table4[[#This Row],[product]])</f>
        <v>monitor</v>
      </c>
    </row>
    <row r="15" spans="1:12">
      <c r="A15">
        <v>14</v>
      </c>
      <c r="B15">
        <v>1014</v>
      </c>
      <c r="C15" s="4" t="s">
        <v>337</v>
      </c>
      <c r="D15" s="4" t="s">
        <v>19</v>
      </c>
      <c r="E15" s="7" t="s">
        <v>338</v>
      </c>
      <c r="F15" t="s">
        <v>321</v>
      </c>
      <c r="G15">
        <v>5</v>
      </c>
      <c r="H15" s="4" t="str">
        <f>TRIM(Table4[[#This Row],[customer_name]])</f>
        <v>isha patil</v>
      </c>
      <c r="I15" s="4" t="str">
        <f>LOWER(Table4[[#This Row],[clean_name]])</f>
        <v>isha patil</v>
      </c>
      <c r="J15" s="4" t="str">
        <f>UPPER(Table4[[#This Row],[lower]])</f>
        <v>ISHA PATIL</v>
      </c>
      <c r="K15" s="4" t="str">
        <f>PROPER(TRIM(Table4[[#This Row],[city]]))</f>
        <v>Nashik</v>
      </c>
      <c r="L15" s="4" t="str">
        <f>TRIM(Table4[[#This Row],[product]])</f>
        <v>headphones</v>
      </c>
    </row>
    <row r="16" spans="1:12">
      <c r="A16">
        <v>15</v>
      </c>
      <c r="B16">
        <v>1015</v>
      </c>
      <c r="C16" s="4" t="s">
        <v>339</v>
      </c>
      <c r="D16" s="4" t="s">
        <v>306</v>
      </c>
      <c r="E16" s="7" t="s">
        <v>340</v>
      </c>
      <c r="F16" t="s">
        <v>314</v>
      </c>
      <c r="G16">
        <v>3</v>
      </c>
      <c r="H16" s="4" t="str">
        <f>TRIM(Table4[[#This Row],[customer_name]])</f>
        <v>Aman gupta</v>
      </c>
      <c r="I16" s="4" t="str">
        <f>LOWER(Table4[[#This Row],[clean_name]])</f>
        <v>aman gupta</v>
      </c>
      <c r="J16" s="4" t="str">
        <f>UPPER(Table4[[#This Row],[lower]])</f>
        <v>AMAN GUPTA</v>
      </c>
      <c r="K16" s="4" t="str">
        <f>PROPER(TRIM(Table4[[#This Row],[city]]))</f>
        <v>Pune</v>
      </c>
      <c r="L16" s="4" t="str">
        <f>TRIM(Table4[[#This Row],[product]])</f>
        <v>keyboard</v>
      </c>
    </row>
    <row r="17" spans="1:12">
      <c r="A17">
        <v>16</v>
      </c>
      <c r="B17">
        <v>1016</v>
      </c>
      <c r="C17" s="4" t="s">
        <v>341</v>
      </c>
      <c r="D17" s="4" t="s">
        <v>30</v>
      </c>
      <c r="E17" s="7" t="s">
        <v>342</v>
      </c>
      <c r="F17" t="s">
        <v>308</v>
      </c>
      <c r="G17">
        <v>2</v>
      </c>
      <c r="H17" s="4" t="str">
        <f>TRIM(Table4[[#This Row],[customer_name]])</f>
        <v>kavya rao</v>
      </c>
      <c r="I17" s="4" t="str">
        <f>LOWER(Table4[[#This Row],[clean_name]])</f>
        <v>kavya rao</v>
      </c>
      <c r="J17" s="4" t="str">
        <f>UPPER(Table4[[#This Row],[lower]])</f>
        <v>KAVYA RAO</v>
      </c>
      <c r="K17" s="4" t="str">
        <f>PROPER(TRIM(Table4[[#This Row],[city]]))</f>
        <v>Mumbai</v>
      </c>
      <c r="L17" s="4" t="str">
        <f>TRIM(Table4[[#This Row],[product]])</f>
        <v>laptop</v>
      </c>
    </row>
    <row r="18" spans="1:12">
      <c r="A18">
        <v>17</v>
      </c>
      <c r="B18">
        <v>1017</v>
      </c>
      <c r="C18" s="4" t="s">
        <v>343</v>
      </c>
      <c r="D18" s="4" t="s">
        <v>33</v>
      </c>
      <c r="E18" s="7" t="s">
        <v>344</v>
      </c>
      <c r="F18" s="4" t="s">
        <v>317</v>
      </c>
      <c r="G18">
        <v>8</v>
      </c>
      <c r="H18" s="4" t="str">
        <f>TRIM(Table4[[#This Row],[customer_name]])</f>
        <v>dev joshi</v>
      </c>
      <c r="I18" s="4" t="str">
        <f>LOWER(Table4[[#This Row],[clean_name]])</f>
        <v>dev joshi</v>
      </c>
      <c r="J18" s="4" t="str">
        <f>UPPER(Table4[[#This Row],[lower]])</f>
        <v>DEV JOSHI</v>
      </c>
      <c r="K18" s="4" t="str">
        <f>PROPER(TRIM(Table4[[#This Row],[city]]))</f>
        <v>Nagpur</v>
      </c>
      <c r="L18" s="4" t="str">
        <f>TRIM(Table4[[#This Row],[product]])</f>
        <v>mouse</v>
      </c>
    </row>
    <row r="19" spans="1:12">
      <c r="A19">
        <v>19</v>
      </c>
      <c r="B19">
        <v>1019</v>
      </c>
      <c r="C19" s="4" t="s">
        <v>345</v>
      </c>
      <c r="D19" s="4" t="s">
        <v>306</v>
      </c>
      <c r="E19" s="7" t="s">
        <v>346</v>
      </c>
      <c r="F19" t="s">
        <v>324</v>
      </c>
      <c r="G19">
        <v>2</v>
      </c>
      <c r="H19" s="4" t="str">
        <f>TRIM(Table4[[#This Row],[customer_name]])</f>
        <v>Nitin more</v>
      </c>
      <c r="I19" s="4" t="str">
        <f>LOWER(Table4[[#This Row],[clean_name]])</f>
        <v>nitin more</v>
      </c>
      <c r="J19" s="4" t="str">
        <f>UPPER(Table4[[#This Row],[lower]])</f>
        <v>NITIN MORE</v>
      </c>
      <c r="K19" s="4" t="str">
        <f>PROPER(TRIM(Table4[[#This Row],[city]]))</f>
        <v>Pune</v>
      </c>
      <c r="L19" s="4" t="str">
        <f>TRIM(Table4[[#This Row],[product]])</f>
        <v>printer</v>
      </c>
    </row>
    <row r="20" spans="1:12">
      <c r="A20">
        <v>20</v>
      </c>
      <c r="B20">
        <v>1020</v>
      </c>
      <c r="C20" s="4" t="s">
        <v>347</v>
      </c>
      <c r="D20" s="4" t="s">
        <v>30</v>
      </c>
      <c r="E20" s="7" t="s">
        <v>348</v>
      </c>
      <c r="F20" t="s">
        <v>311</v>
      </c>
      <c r="G20">
        <v>3</v>
      </c>
      <c r="H20" s="4" t="str">
        <f>TRIM(Table4[[#This Row],[customer_name]])</f>
        <v>simran kaur</v>
      </c>
      <c r="I20" s="4" t="str">
        <f>LOWER(Table4[[#This Row],[clean_name]])</f>
        <v>simran kaur</v>
      </c>
      <c r="J20" s="4" t="str">
        <f>UPPER(Table4[[#This Row],[lower]])</f>
        <v>SIMRAN KAUR</v>
      </c>
      <c r="K20" s="4" t="str">
        <f>PROPER(TRIM(Table4[[#This Row],[city]]))</f>
        <v>Mumbai</v>
      </c>
      <c r="L20" s="4" t="str">
        <f>TRIM(Table4[[#This Row],[product]])</f>
        <v>monitor</v>
      </c>
    </row>
    <row r="21" spans="1:12">
      <c r="A21">
        <v>21</v>
      </c>
      <c r="B21">
        <v>1021</v>
      </c>
      <c r="D21" s="4" t="s">
        <v>19</v>
      </c>
      <c r="E21" s="7" t="s">
        <v>349</v>
      </c>
      <c r="F21" t="s">
        <v>314</v>
      </c>
      <c r="G21">
        <v>4</v>
      </c>
      <c r="H21" s="4" t="str">
        <f>TRIM(Table4[[#This Row],[customer_name]])</f>
        <v/>
      </c>
      <c r="I21" s="4" t="str">
        <f>LOWER(Table4[[#This Row],[clean_name]])</f>
        <v/>
      </c>
      <c r="J21" s="4" t="str">
        <f>UPPER(Table4[[#This Row],[lower]])</f>
        <v/>
      </c>
      <c r="K21" s="4" t="str">
        <f>PROPER(TRIM(Table4[[#This Row],[city]]))</f>
        <v>Nashik</v>
      </c>
      <c r="L21" s="4" t="str">
        <f>TRIM(Table4[[#This Row],[product]])</f>
        <v>keyboard</v>
      </c>
    </row>
    <row r="22" spans="1:12">
      <c r="A22">
        <v>22</v>
      </c>
      <c r="B22">
        <v>1022</v>
      </c>
      <c r="C22" s="4" t="s">
        <v>350</v>
      </c>
      <c r="D22" s="4" t="s">
        <v>306</v>
      </c>
      <c r="E22" s="7" t="s">
        <v>351</v>
      </c>
      <c r="F22" s="4" t="s">
        <v>317</v>
      </c>
      <c r="G22">
        <v>2</v>
      </c>
      <c r="H22" s="4" t="str">
        <f>TRIM(Table4[[#This Row],[customer_name]])</f>
        <v>Raj verma</v>
      </c>
      <c r="I22" s="4" t="str">
        <f>LOWER(Table4[[#This Row],[clean_name]])</f>
        <v>raj verma</v>
      </c>
      <c r="J22" s="4" t="str">
        <f>UPPER(Table4[[#This Row],[lower]])</f>
        <v>RAJ VERMA</v>
      </c>
      <c r="K22" s="4" t="str">
        <f>PROPER(TRIM(Table4[[#This Row],[city]]))</f>
        <v>Pune</v>
      </c>
      <c r="L22" s="4" t="str">
        <f>TRIM(Table4[[#This Row],[product]])</f>
        <v>mouse</v>
      </c>
    </row>
    <row r="23" spans="1:12">
      <c r="A23">
        <v>23</v>
      </c>
      <c r="B23">
        <v>1023</v>
      </c>
      <c r="C23" s="4" t="s">
        <v>352</v>
      </c>
      <c r="D23" s="4" t="s">
        <v>33</v>
      </c>
      <c r="F23" s="4" t="s">
        <v>321</v>
      </c>
      <c r="G23">
        <v>3</v>
      </c>
      <c r="H23" s="4" t="str">
        <f>TRIM(Table4[[#This Row],[customer_name]])</f>
        <v>Tina shah</v>
      </c>
      <c r="I23" s="4" t="str">
        <f>LOWER(Table4[[#This Row],[clean_name]])</f>
        <v>tina shah</v>
      </c>
      <c r="J23" s="4" t="str">
        <f>UPPER(Table4[[#This Row],[lower]])</f>
        <v>TINA SHAH</v>
      </c>
      <c r="K23" s="4" t="str">
        <f>PROPER(TRIM(Table4[[#This Row],[city]]))</f>
        <v>Nagpur</v>
      </c>
      <c r="L23" s="4" t="str">
        <f>TRIM(Table4[[#This Row],[product]])</f>
        <v>headphones</v>
      </c>
    </row>
    <row r="24" spans="1:12">
      <c r="A24">
        <v>24</v>
      </c>
      <c r="B24">
        <v>1024</v>
      </c>
      <c r="C24" s="4" t="s">
        <v>353</v>
      </c>
      <c r="D24" s="4" t="s">
        <v>30</v>
      </c>
      <c r="E24" s="7" t="s">
        <v>354</v>
      </c>
      <c r="F24" t="s">
        <v>308</v>
      </c>
      <c r="G24">
        <v>1</v>
      </c>
      <c r="H24" s="4" t="str">
        <f>TRIM(Table4[[#This Row],[customer_name]])</f>
        <v>Mohit jain</v>
      </c>
      <c r="I24" s="4" t="str">
        <f>LOWER(Table4[[#This Row],[clean_name]])</f>
        <v>mohit jain</v>
      </c>
      <c r="J24" s="4" t="str">
        <f>UPPER(Table4[[#This Row],[lower]])</f>
        <v>MOHIT JAIN</v>
      </c>
      <c r="K24" s="4" t="str">
        <f>PROPER(TRIM(Table4[[#This Row],[city]]))</f>
        <v>Mumbai</v>
      </c>
      <c r="L24" s="4" t="str">
        <f>TRIM(Table4[[#This Row],[product]])</f>
        <v>laptop</v>
      </c>
    </row>
    <row r="25" spans="1:12">
      <c r="A25">
        <v>25</v>
      </c>
      <c r="B25">
        <v>1025</v>
      </c>
      <c r="C25" s="4" t="s">
        <v>355</v>
      </c>
      <c r="D25" s="4" t="s">
        <v>306</v>
      </c>
      <c r="E25" s="7" t="s">
        <v>356</v>
      </c>
      <c r="F25" s="4" t="s">
        <v>324</v>
      </c>
      <c r="G25">
        <v>2</v>
      </c>
      <c r="H25" s="4" t="str">
        <f>TRIM(Table4[[#This Row],[customer_name]])</f>
        <v>asha patil</v>
      </c>
      <c r="I25" s="4" t="str">
        <f>LOWER(Table4[[#This Row],[clean_name]])</f>
        <v>asha patil</v>
      </c>
      <c r="J25" s="4" t="str">
        <f>UPPER(Table4[[#This Row],[lower]])</f>
        <v>ASHA PATIL</v>
      </c>
      <c r="K25" s="4" t="str">
        <f>PROPER(TRIM(Table4[[#This Row],[city]]))</f>
        <v>Pune</v>
      </c>
      <c r="L25" s="4" t="str">
        <f>TRIM(Table4[[#This Row],[product]])</f>
        <v>printer</v>
      </c>
    </row>
  </sheetData>
  <hyperlinks>
    <hyperlink ref="E2" r:id="rId1" xr:uid="{CFFB25F9-0790-4680-966F-1CBE73CAD0B7}"/>
    <hyperlink ref="E3" r:id="rId2" xr:uid="{46EA6503-CB1B-4718-B005-9DDDC4D2FAD6}"/>
    <hyperlink ref="E4" r:id="rId3" xr:uid="{F4250E7F-872B-466A-89A1-59C1E7715A70}"/>
    <hyperlink ref="E5" r:id="rId4" xr:uid="{C0B510B6-D3ED-4F7B-888F-5903181A045E}"/>
    <hyperlink ref="E7" r:id="rId5" xr:uid="{B846C413-14B3-43B8-ADC0-34D8573387DD}"/>
    <hyperlink ref="E8" r:id="rId6" xr:uid="{A70CC411-133D-40D3-87EA-3DDC8A36F05E}"/>
    <hyperlink ref="E9" r:id="rId7" xr:uid="{CCF3E7A7-852B-46FA-B248-A06EB949446E}"/>
    <hyperlink ref="E10" r:id="rId8" xr:uid="{63CD4A9C-3589-4655-9D7D-8499FBF901A0}"/>
    <hyperlink ref="E11" r:id="rId9" xr:uid="{24CBE1AF-FE05-4C6D-8D5F-9D4EBBAE36C6}"/>
    <hyperlink ref="E12" r:id="rId10" xr:uid="{47B028E0-CA8A-49F3-BAA4-F4DD2E2EFE14}"/>
    <hyperlink ref="E13" r:id="rId11" xr:uid="{9F141199-A6B2-4EC3-86E5-E35BF7AC8893}"/>
    <hyperlink ref="E14" r:id="rId12" xr:uid="{44E0FDFD-FE2B-4A31-A759-52F302343595}"/>
    <hyperlink ref="E15" r:id="rId13" xr:uid="{34D3A790-8EB2-44E1-A8FB-EB2A5E3DAE1D}"/>
    <hyperlink ref="E16" r:id="rId14" xr:uid="{A3EFFA95-762B-4D89-AD35-AAF239637957}"/>
    <hyperlink ref="E17" r:id="rId15" xr:uid="{3DDD12F7-5007-4511-B563-0F4E252C7C51}"/>
    <hyperlink ref="E18" r:id="rId16" xr:uid="{0A3CC299-8FAC-4BBC-A2DA-343787FCF515}"/>
    <hyperlink ref="E19" r:id="rId17" xr:uid="{881AB45D-4DE7-4B35-AB12-109BAA6173AA}"/>
    <hyperlink ref="E20" r:id="rId18" xr:uid="{5BA26EEE-0E71-4FE3-91CA-04D4C30F70CE}"/>
    <hyperlink ref="E21" r:id="rId19" xr:uid="{558A64F9-AEB5-4B6E-9739-B7B41958D2B3}"/>
    <hyperlink ref="E22" r:id="rId20" xr:uid="{34E6A9CA-6814-4E14-B2D8-4A2701839C46}"/>
    <hyperlink ref="E24" r:id="rId21" xr:uid="{71064725-085A-4E21-BB01-2B6706A69203}"/>
    <hyperlink ref="E25" r:id="rId22" xr:uid="{1BF26613-86FA-46CA-B7C1-E09B29762481}"/>
  </hyperlinks>
  <pageMargins left="0.7" right="0.7" top="0.75" bottom="0.75" header="0.3" footer="0.3"/>
  <tableParts count="1">
    <tablePart r:id="rId2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5FB29-404B-4F84-8F8A-D9F4B2E583CB}">
  <dimension ref="A2:N26"/>
  <sheetViews>
    <sheetView tabSelected="1" topLeftCell="A2" workbookViewId="0">
      <selection activeCell="E5" sqref="E5"/>
    </sheetView>
  </sheetViews>
  <sheetFormatPr defaultRowHeight="14.4"/>
  <cols>
    <col min="1" max="1" width="9.6640625" customWidth="1"/>
    <col min="2" max="2" width="14" customWidth="1"/>
    <col min="3" max="3" width="15.5546875" customWidth="1"/>
    <col min="4" max="5" width="9.5546875" customWidth="1"/>
    <col min="6" max="6" width="13.109375" customWidth="1"/>
  </cols>
  <sheetData>
    <row r="2" spans="1:14" ht="31.2">
      <c r="I2" s="24" t="s">
        <v>387</v>
      </c>
      <c r="J2" s="23"/>
      <c r="K2" s="23"/>
      <c r="L2" s="23"/>
      <c r="M2" s="23"/>
      <c r="N2" s="23"/>
    </row>
    <row r="4" spans="1:14">
      <c r="A4" s="4" t="s">
        <v>386</v>
      </c>
      <c r="B4" s="4" t="s">
        <v>385</v>
      </c>
      <c r="C4" s="4" t="s">
        <v>384</v>
      </c>
      <c r="D4" s="4" t="s">
        <v>4</v>
      </c>
      <c r="E4" s="4" t="s">
        <v>383</v>
      </c>
      <c r="F4" s="4" t="s">
        <v>382</v>
      </c>
      <c r="G4" s="4" t="s">
        <v>381</v>
      </c>
      <c r="H4" s="4" t="s">
        <v>380</v>
      </c>
      <c r="I4" s="4" t="s">
        <v>379</v>
      </c>
      <c r="J4" s="4" t="s">
        <v>378</v>
      </c>
      <c r="K4" s="4" t="s">
        <v>15</v>
      </c>
    </row>
    <row r="5" spans="1:14">
      <c r="A5">
        <v>1</v>
      </c>
      <c r="B5" s="20">
        <v>45798</v>
      </c>
      <c r="C5" s="20">
        <v>46167</v>
      </c>
      <c r="D5" s="18" t="s">
        <v>308</v>
      </c>
      <c r="E5" t="s">
        <v>35</v>
      </c>
      <c r="F5" s="6">
        <f t="shared" ref="F5:F25" ca="1" si="0">TODAY()</f>
        <v>46282</v>
      </c>
      <c r="G5">
        <f>YEAR(Table3[[#This Row],[Order_date]])</f>
        <v>2025</v>
      </c>
      <c r="H5">
        <f>MONTH(Table3[[#This Row],[Delivery_date]])</f>
        <v>5</v>
      </c>
      <c r="I5">
        <f>DAY(Table3[[#This Row],[Order_date]])</f>
        <v>21</v>
      </c>
      <c r="J5">
        <f>Table3[[#This Row],[Delivery_date]]-Table3[[#This Row],[Order_date]]</f>
        <v>369</v>
      </c>
      <c r="K5">
        <f>IFERROR(Table3[[#This Row],[Delivery_date]]-Table3[[#This Row],[Order_date]],"not available")</f>
        <v>369</v>
      </c>
    </row>
    <row r="6" spans="1:14">
      <c r="A6">
        <v>2</v>
      </c>
      <c r="B6" s="17">
        <v>46134</v>
      </c>
      <c r="C6" s="17">
        <v>46138</v>
      </c>
      <c r="D6" s="21" t="s">
        <v>311</v>
      </c>
      <c r="E6" t="s">
        <v>35</v>
      </c>
      <c r="F6" s="6">
        <f t="shared" ca="1" si="0"/>
        <v>46282</v>
      </c>
      <c r="G6">
        <f>YEAR(Table3[[#This Row],[Order_date]])</f>
        <v>2026</v>
      </c>
      <c r="H6">
        <f>MONTH(Table3[[#This Row],[Delivery_date]])</f>
        <v>4</v>
      </c>
      <c r="I6">
        <f>DAY(Table3[[#This Row],[Order_date]])</f>
        <v>22</v>
      </c>
      <c r="J6">
        <f>Table3[[#This Row],[Delivery_date]]-Table3[[#This Row],[Order_date]]</f>
        <v>4</v>
      </c>
      <c r="K6">
        <f>IFERROR(Table3[[#This Row],[Delivery_date]]-Table3[[#This Row],[Order_date]],"not available")</f>
        <v>4</v>
      </c>
    </row>
    <row r="7" spans="1:14">
      <c r="A7">
        <v>3</v>
      </c>
      <c r="B7" s="20">
        <v>46239</v>
      </c>
      <c r="C7" s="20">
        <v>46245</v>
      </c>
      <c r="D7" s="18" t="s">
        <v>314</v>
      </c>
      <c r="E7" t="s">
        <v>35</v>
      </c>
      <c r="F7" s="6">
        <f t="shared" ca="1" si="0"/>
        <v>46282</v>
      </c>
      <c r="G7">
        <f>YEAR(Table3[[#This Row],[Order_date]])</f>
        <v>2026</v>
      </c>
      <c r="H7">
        <f>MONTH(Table3[[#This Row],[Delivery_date]])</f>
        <v>8</v>
      </c>
      <c r="I7">
        <f>DAY(Table3[[#This Row],[Order_date]])</f>
        <v>5</v>
      </c>
      <c r="J7">
        <f>Table3[[#This Row],[Delivery_date]]-Table3[[#This Row],[Order_date]]</f>
        <v>6</v>
      </c>
      <c r="K7">
        <f>IFERROR(Table3[[#This Row],[Delivery_date]]-Table3[[#This Row],[Order_date]],"not available")</f>
        <v>6</v>
      </c>
    </row>
    <row r="8" spans="1:14">
      <c r="A8">
        <v>4</v>
      </c>
      <c r="B8" s="17">
        <v>46258</v>
      </c>
      <c r="C8" s="17">
        <v>46267</v>
      </c>
      <c r="D8" s="21" t="s">
        <v>317</v>
      </c>
      <c r="E8" t="s">
        <v>35</v>
      </c>
      <c r="F8" s="6">
        <f t="shared" ca="1" si="0"/>
        <v>46282</v>
      </c>
      <c r="G8">
        <f>YEAR(Table3[[#This Row],[Order_date]])</f>
        <v>2026</v>
      </c>
      <c r="H8">
        <f>MONTH(Table3[[#This Row],[Delivery_date]])</f>
        <v>9</v>
      </c>
      <c r="I8">
        <f>DAY(Table3[[#This Row],[Order_date]])</f>
        <v>24</v>
      </c>
      <c r="J8">
        <f>Table3[[#This Row],[Delivery_date]]-Table3[[#This Row],[Order_date]]</f>
        <v>9</v>
      </c>
      <c r="K8">
        <f>IFERROR(Table3[[#This Row],[Delivery_date]]-Table3[[#This Row],[Order_date]],"not available")</f>
        <v>9</v>
      </c>
    </row>
    <row r="9" spans="1:14">
      <c r="A9">
        <v>5</v>
      </c>
      <c r="B9" s="20">
        <v>46139</v>
      </c>
      <c r="C9" s="20">
        <v>46144</v>
      </c>
      <c r="D9" s="18" t="s">
        <v>308</v>
      </c>
      <c r="E9" t="s">
        <v>35</v>
      </c>
      <c r="F9" s="6">
        <f t="shared" ca="1" si="0"/>
        <v>46282</v>
      </c>
      <c r="G9">
        <f>YEAR(Table3[[#This Row],[Order_date]])</f>
        <v>2026</v>
      </c>
      <c r="H9">
        <f>MONTH(Table3[[#This Row],[Delivery_date]])</f>
        <v>5</v>
      </c>
      <c r="I9">
        <f>DAY(Table3[[#This Row],[Order_date]])</f>
        <v>27</v>
      </c>
      <c r="J9">
        <f>Table3[[#This Row],[Delivery_date]]-Table3[[#This Row],[Order_date]]</f>
        <v>5</v>
      </c>
      <c r="K9" s="4" t="s">
        <v>377</v>
      </c>
    </row>
    <row r="10" spans="1:14">
      <c r="A10">
        <v>6</v>
      </c>
      <c r="B10" s="17">
        <v>46059</v>
      </c>
      <c r="C10" s="17">
        <v>46069</v>
      </c>
      <c r="D10" s="21" t="s">
        <v>321</v>
      </c>
      <c r="E10" t="s">
        <v>35</v>
      </c>
      <c r="F10" s="6">
        <f t="shared" ca="1" si="0"/>
        <v>46282</v>
      </c>
      <c r="G10">
        <f>YEAR(Table3[[#This Row],[Order_date]])</f>
        <v>2026</v>
      </c>
      <c r="H10">
        <f>MONTH(Table3[[#This Row],[Delivery_date]])</f>
        <v>2</v>
      </c>
      <c r="I10">
        <f>DAY(Table3[[#This Row],[Order_date]])</f>
        <v>6</v>
      </c>
      <c r="J10">
        <f>Table3[[#This Row],[Delivery_date]]-Table3[[#This Row],[Order_date]]</f>
        <v>10</v>
      </c>
      <c r="K10">
        <f>IFERROR(Table3[[#This Row],[Delivery_date]]-Table3[[#This Row],[Order_date]],"not available")</f>
        <v>10</v>
      </c>
    </row>
    <row r="11" spans="1:14">
      <c r="A11">
        <v>7</v>
      </c>
      <c r="B11" s="20">
        <v>46051</v>
      </c>
      <c r="C11" s="20">
        <v>46055</v>
      </c>
      <c r="D11" s="18" t="s">
        <v>324</v>
      </c>
      <c r="E11" t="s">
        <v>35</v>
      </c>
      <c r="F11" s="6">
        <f t="shared" ca="1" si="0"/>
        <v>46282</v>
      </c>
      <c r="G11">
        <f>YEAR(Table3[[#This Row],[Order_date]])</f>
        <v>2026</v>
      </c>
      <c r="H11">
        <f>MONTH(Table3[[#This Row],[Delivery_date]])</f>
        <v>2</v>
      </c>
      <c r="I11">
        <f>DAY(Table3[[#This Row],[Order_date]])</f>
        <v>29</v>
      </c>
      <c r="J11">
        <f>Table3[[#This Row],[Delivery_date]]-Table3[[#This Row],[Order_date]]</f>
        <v>4</v>
      </c>
      <c r="K11">
        <f>IFERROR(Table3[[#This Row],[Delivery_date]]-Table3[[#This Row],[Order_date]],"not available")</f>
        <v>4</v>
      </c>
    </row>
    <row r="12" spans="1:14">
      <c r="A12">
        <v>8</v>
      </c>
      <c r="B12" s="17">
        <v>46257</v>
      </c>
      <c r="C12" s="17">
        <v>46260</v>
      </c>
      <c r="D12" s="21" t="s">
        <v>311</v>
      </c>
      <c r="E12" s="4" t="s">
        <v>376</v>
      </c>
      <c r="F12" s="6">
        <f t="shared" ca="1" si="0"/>
        <v>46282</v>
      </c>
      <c r="G12">
        <f>YEAR(Table3[[#This Row],[Order_date]])</f>
        <v>2026</v>
      </c>
      <c r="H12">
        <f>MONTH(Table3[[#This Row],[Delivery_date]])</f>
        <v>8</v>
      </c>
      <c r="I12">
        <f>DAY(Table3[[#This Row],[Order_date]])</f>
        <v>23</v>
      </c>
      <c r="J12">
        <f>Table3[[#This Row],[Delivery_date]]-Table3[[#This Row],[Order_date]]</f>
        <v>3</v>
      </c>
      <c r="K12">
        <f>IFERROR(Table3[[#This Row],[Delivery_date]]-Table3[[#This Row],[Order_date]],"not available")</f>
        <v>3</v>
      </c>
    </row>
    <row r="13" spans="1:14">
      <c r="A13">
        <v>9</v>
      </c>
      <c r="B13" s="20">
        <v>46093</v>
      </c>
      <c r="C13" s="20">
        <v>46102</v>
      </c>
      <c r="D13" s="18" t="s">
        <v>314</v>
      </c>
      <c r="E13" s="4" t="s">
        <v>375</v>
      </c>
      <c r="F13" s="6">
        <f t="shared" ca="1" si="0"/>
        <v>46282</v>
      </c>
      <c r="G13">
        <f>YEAR(Table3[[#This Row],[Order_date]])</f>
        <v>2026</v>
      </c>
      <c r="H13">
        <f>MONTH(Table3[[#This Row],[Delivery_date]])</f>
        <v>3</v>
      </c>
      <c r="I13">
        <f>DAY(Table3[[#This Row],[Order_date]])</f>
        <v>12</v>
      </c>
      <c r="J13">
        <f>Table3[[#This Row],[Delivery_date]]-Table3[[#This Row],[Order_date]]</f>
        <v>9</v>
      </c>
      <c r="K13">
        <f>IFERROR(Table3[[#This Row],[Delivery_date]]-Table3[[#This Row],[Order_date]],"not available")</f>
        <v>9</v>
      </c>
    </row>
    <row r="14" spans="1:14">
      <c r="A14">
        <v>10</v>
      </c>
      <c r="B14" s="17">
        <v>46218</v>
      </c>
      <c r="C14" s="17">
        <v>46228</v>
      </c>
      <c r="D14" s="21" t="s">
        <v>317</v>
      </c>
      <c r="E14" t="s">
        <v>37</v>
      </c>
      <c r="F14" s="6">
        <f t="shared" ca="1" si="0"/>
        <v>46282</v>
      </c>
      <c r="G14">
        <f>YEAR(Table3[[#This Row],[Order_date]])</f>
        <v>2026</v>
      </c>
      <c r="H14">
        <f>MONTH(Table3[[#This Row],[Delivery_date]])</f>
        <v>7</v>
      </c>
      <c r="I14">
        <f>DAY(Table3[[#This Row],[Order_date]])</f>
        <v>15</v>
      </c>
      <c r="J14">
        <f>Table3[[#This Row],[Delivery_date]]-Table3[[#This Row],[Order_date]]</f>
        <v>10</v>
      </c>
      <c r="K14">
        <f>IFERROR(Table3[[#This Row],[Delivery_date]]-Table3[[#This Row],[Order_date]],"not available")</f>
        <v>10</v>
      </c>
    </row>
    <row r="15" spans="1:14">
      <c r="A15">
        <v>11</v>
      </c>
      <c r="B15" s="20">
        <v>46173</v>
      </c>
      <c r="C15" s="20">
        <v>46180</v>
      </c>
      <c r="D15" s="18" t="s">
        <v>308</v>
      </c>
      <c r="E15" t="s">
        <v>35</v>
      </c>
      <c r="F15" s="6">
        <f t="shared" ca="1" si="0"/>
        <v>46282</v>
      </c>
      <c r="G15">
        <f>YEAR(Table3[[#This Row],[Order_date]])</f>
        <v>2026</v>
      </c>
      <c r="H15">
        <f>MONTH(Table3[[#This Row],[Delivery_date]])</f>
        <v>6</v>
      </c>
      <c r="I15">
        <f>DAY(Table3[[#This Row],[Order_date]])</f>
        <v>31</v>
      </c>
      <c r="J15">
        <f>Table3[[#This Row],[Delivery_date]]-Table3[[#This Row],[Order_date]]</f>
        <v>7</v>
      </c>
      <c r="K15">
        <f>IFERROR(Table3[[#This Row],[Delivery_date]]-Table3[[#This Row],[Order_date]],"not available")</f>
        <v>7</v>
      </c>
    </row>
    <row r="16" spans="1:14">
      <c r="A16">
        <v>12</v>
      </c>
      <c r="B16" s="17">
        <v>46124</v>
      </c>
      <c r="C16" s="17">
        <v>46127</v>
      </c>
      <c r="D16" s="21" t="s">
        <v>324</v>
      </c>
      <c r="E16" t="s">
        <v>35</v>
      </c>
      <c r="F16" s="6">
        <f t="shared" ca="1" si="0"/>
        <v>46282</v>
      </c>
      <c r="G16">
        <f>YEAR(Table3[[#This Row],[Order_date]])</f>
        <v>2026</v>
      </c>
      <c r="H16">
        <f>MONTH(Table3[[#This Row],[Delivery_date]])</f>
        <v>4</v>
      </c>
      <c r="I16">
        <f>DAY(Table3[[#This Row],[Order_date]])</f>
        <v>12</v>
      </c>
      <c r="J16">
        <f>Table3[[#This Row],[Delivery_date]]-Table3[[#This Row],[Order_date]]</f>
        <v>3</v>
      </c>
      <c r="K16">
        <f>IFERROR(Table3[[#This Row],[Delivery_date]]-Table3[[#This Row],[Order_date]],"not available")</f>
        <v>3</v>
      </c>
    </row>
    <row r="17" spans="1:11">
      <c r="A17">
        <v>13</v>
      </c>
      <c r="B17" s="20">
        <v>46145</v>
      </c>
      <c r="C17" s="20">
        <v>46146</v>
      </c>
      <c r="D17" s="18" t="s">
        <v>311</v>
      </c>
      <c r="E17" t="s">
        <v>114</v>
      </c>
      <c r="F17" s="6">
        <f t="shared" ca="1" si="0"/>
        <v>46282</v>
      </c>
      <c r="G17">
        <f>YEAR(Table3[[#This Row],[Order_date]])</f>
        <v>2026</v>
      </c>
      <c r="H17">
        <f>MONTH(Table3[[#This Row],[Delivery_date]])</f>
        <v>5</v>
      </c>
      <c r="I17">
        <f>DAY(Table3[[#This Row],[Order_date]])</f>
        <v>3</v>
      </c>
      <c r="J17">
        <f>Table3[[#This Row],[Delivery_date]]-Table3[[#This Row],[Order_date]]</f>
        <v>1</v>
      </c>
      <c r="K17">
        <f>IFERROR(Table3[[#This Row],[Delivery_date]]-Table3[[#This Row],[Order_date]],"not available")</f>
        <v>1</v>
      </c>
    </row>
    <row r="18" spans="1:11">
      <c r="A18">
        <v>14</v>
      </c>
      <c r="B18" s="17">
        <v>46266</v>
      </c>
      <c r="C18" s="17">
        <v>46275</v>
      </c>
      <c r="D18" s="21" t="s">
        <v>321</v>
      </c>
      <c r="E18" t="s">
        <v>37</v>
      </c>
      <c r="F18" s="6">
        <f t="shared" ca="1" si="0"/>
        <v>46282</v>
      </c>
      <c r="G18">
        <f>YEAR(Table3[[#This Row],[Order_date]])</f>
        <v>2026</v>
      </c>
      <c r="H18">
        <f>MONTH(Table3[[#This Row],[Delivery_date]])</f>
        <v>9</v>
      </c>
      <c r="I18">
        <f>DAY(Table3[[#This Row],[Order_date]])</f>
        <v>1</v>
      </c>
      <c r="J18">
        <f>Table3[[#This Row],[Delivery_date]]-Table3[[#This Row],[Order_date]]</f>
        <v>9</v>
      </c>
      <c r="K18">
        <f>IFERROR(Table3[[#This Row],[Delivery_date]]-Table3[[#This Row],[Order_date]],"not available")</f>
        <v>9</v>
      </c>
    </row>
    <row r="19" spans="1:11">
      <c r="A19">
        <v>15</v>
      </c>
      <c r="B19" s="20">
        <v>46287</v>
      </c>
      <c r="C19" s="20">
        <v>46295</v>
      </c>
      <c r="D19" s="18" t="s">
        <v>314</v>
      </c>
      <c r="E19" t="s">
        <v>35</v>
      </c>
      <c r="F19" s="6">
        <f t="shared" ca="1" si="0"/>
        <v>46282</v>
      </c>
      <c r="G19">
        <f>YEAR(Table3[[#This Row],[Order_date]])</f>
        <v>2026</v>
      </c>
      <c r="H19">
        <f>MONTH(Table3[[#This Row],[Delivery_date]])</f>
        <v>9</v>
      </c>
      <c r="I19">
        <f>DAY(Table3[[#This Row],[Order_date]])</f>
        <v>22</v>
      </c>
      <c r="J19">
        <f>Table3[[#This Row],[Delivery_date]]-Table3[[#This Row],[Order_date]]</f>
        <v>8</v>
      </c>
      <c r="K19">
        <f>IFERROR(Table3[[#This Row],[Delivery_date]]-Table3[[#This Row],[Order_date]],"not available")</f>
        <v>8</v>
      </c>
    </row>
    <row r="20" spans="1:11">
      <c r="A20">
        <v>16</v>
      </c>
      <c r="B20" s="17">
        <v>46053</v>
      </c>
      <c r="C20" s="17">
        <v>46057</v>
      </c>
      <c r="D20" s="21" t="s">
        <v>308</v>
      </c>
      <c r="E20" t="s">
        <v>37</v>
      </c>
      <c r="F20" s="6">
        <f t="shared" ca="1" si="0"/>
        <v>46282</v>
      </c>
      <c r="G20">
        <f>YEAR(Table3[[#This Row],[Order_date]])</f>
        <v>2026</v>
      </c>
      <c r="H20">
        <f>MONTH(Table3[[#This Row],[Delivery_date]])</f>
        <v>2</v>
      </c>
      <c r="I20">
        <f>DAY(Table3[[#This Row],[Order_date]])</f>
        <v>31</v>
      </c>
      <c r="J20">
        <f>Table3[[#This Row],[Delivery_date]]-Table3[[#This Row],[Order_date]]</f>
        <v>4</v>
      </c>
      <c r="K20">
        <f>IFERROR(Table3[[#This Row],[Delivery_date]]-Table3[[#This Row],[Order_date]],"not available")</f>
        <v>4</v>
      </c>
    </row>
    <row r="21" spans="1:11">
      <c r="A21">
        <v>17</v>
      </c>
      <c r="B21" s="20">
        <v>46265</v>
      </c>
      <c r="C21" s="20">
        <v>46269</v>
      </c>
      <c r="D21" s="18" t="s">
        <v>317</v>
      </c>
      <c r="E21" t="s">
        <v>35</v>
      </c>
      <c r="F21" s="6">
        <f t="shared" ca="1" si="0"/>
        <v>46282</v>
      </c>
      <c r="G21">
        <f>YEAR(Table3[[#This Row],[Order_date]])</f>
        <v>2026</v>
      </c>
      <c r="H21">
        <f>MONTH(Table3[[#This Row],[Delivery_date]])</f>
        <v>9</v>
      </c>
      <c r="I21">
        <f>DAY(Table3[[#This Row],[Order_date]])</f>
        <v>31</v>
      </c>
      <c r="J21">
        <f>Table3[[#This Row],[Delivery_date]]-Table3[[#This Row],[Order_date]]</f>
        <v>4</v>
      </c>
      <c r="K21">
        <f>IFERROR(Table3[[#This Row],[Delivery_date]]-Table3[[#This Row],[Order_date]],"not available")</f>
        <v>4</v>
      </c>
    </row>
    <row r="22" spans="1:11">
      <c r="A22">
        <v>18</v>
      </c>
      <c r="B22" s="17">
        <v>46073</v>
      </c>
      <c r="C22" s="17">
        <v>46074</v>
      </c>
      <c r="D22" s="21" t="s">
        <v>324</v>
      </c>
      <c r="E22" t="s">
        <v>35</v>
      </c>
      <c r="F22" s="6">
        <f t="shared" ca="1" si="0"/>
        <v>46282</v>
      </c>
      <c r="G22">
        <f>YEAR(Table3[[#This Row],[Order_date]])</f>
        <v>2026</v>
      </c>
      <c r="H22">
        <f>MONTH(Table3[[#This Row],[Delivery_date]])</f>
        <v>2</v>
      </c>
      <c r="I22">
        <f>DAY(Table3[[#This Row],[Order_date]])</f>
        <v>20</v>
      </c>
      <c r="J22">
        <f>Table3[[#This Row],[Delivery_date]]-Table3[[#This Row],[Order_date]]</f>
        <v>1</v>
      </c>
      <c r="K22">
        <f>IFERROR(Table3[[#This Row],[Delivery_date]]-Table3[[#This Row],[Order_date]],"not available")</f>
        <v>1</v>
      </c>
    </row>
    <row r="23" spans="1:11">
      <c r="A23">
        <v>19</v>
      </c>
      <c r="B23" s="20">
        <v>46150</v>
      </c>
      <c r="C23" s="19">
        <v>46152</v>
      </c>
      <c r="D23" s="18" t="s">
        <v>311</v>
      </c>
      <c r="E23" t="s">
        <v>114</v>
      </c>
      <c r="F23" s="6">
        <f t="shared" ca="1" si="0"/>
        <v>46282</v>
      </c>
      <c r="G23">
        <f>YEAR(Table3[[#This Row],[Order_date]])</f>
        <v>2026</v>
      </c>
      <c r="H23">
        <f>MONTH(Table3[[#This Row],[Delivery_date]])</f>
        <v>5</v>
      </c>
      <c r="I23">
        <f>DAY(Table3[[#This Row],[Order_date]])</f>
        <v>8</v>
      </c>
      <c r="J23">
        <f>Table3[[#This Row],[Delivery_date]]-Table3[[#This Row],[Order_date]]</f>
        <v>2</v>
      </c>
      <c r="K23">
        <f>IFERROR(Table3[[#This Row],[Delivery_date]]-Table3[[#This Row],[Order_date]],"not available")</f>
        <v>2</v>
      </c>
    </row>
    <row r="24" spans="1:11">
      <c r="A24">
        <v>20</v>
      </c>
      <c r="B24" s="17">
        <v>46271</v>
      </c>
      <c r="C24" s="22">
        <v>46279</v>
      </c>
      <c r="D24" s="21" t="s">
        <v>314</v>
      </c>
      <c r="E24" t="s">
        <v>35</v>
      </c>
      <c r="F24" s="6">
        <f t="shared" ca="1" si="0"/>
        <v>46282</v>
      </c>
      <c r="G24">
        <f>YEAR(Table3[[#This Row],[Order_date]])</f>
        <v>2026</v>
      </c>
      <c r="H24">
        <f>MONTH(Table3[[#This Row],[Delivery_date]])</f>
        <v>9</v>
      </c>
      <c r="I24">
        <f>DAY(Table3[[#This Row],[Order_date]])</f>
        <v>6</v>
      </c>
      <c r="J24">
        <f>Table3[[#This Row],[Delivery_date]]-Table3[[#This Row],[Order_date]]</f>
        <v>8</v>
      </c>
      <c r="K24">
        <f>IFERROR(Table3[[#This Row],[Delivery_date]]-Table3[[#This Row],[Order_date]],"not available")</f>
        <v>8</v>
      </c>
    </row>
    <row r="25" spans="1:11">
      <c r="A25">
        <v>21</v>
      </c>
      <c r="B25" s="20">
        <v>46272</v>
      </c>
      <c r="C25" s="19">
        <v>46275</v>
      </c>
      <c r="D25" s="18" t="s">
        <v>308</v>
      </c>
      <c r="E25" s="18"/>
      <c r="F25" s="6">
        <f t="shared" ca="1" si="0"/>
        <v>46282</v>
      </c>
      <c r="G25">
        <f>YEAR(Table3[[#This Row],[Order_date]])</f>
        <v>2026</v>
      </c>
      <c r="H25">
        <f>MONTH(Table3[[#This Row],[Delivery_date]])</f>
        <v>9</v>
      </c>
      <c r="I25">
        <f>DAY(Table3[[#This Row],[Order_date]])</f>
        <v>7</v>
      </c>
      <c r="J25">
        <f>Table3[[#This Row],[Delivery_date]]-Table3[[#This Row],[Order_date]]</f>
        <v>3</v>
      </c>
      <c r="K25">
        <f>IFERROR(Table3[[#This Row],[Delivery_date]]-Table3[[#This Row],[Order_date]],"not available")</f>
        <v>3</v>
      </c>
    </row>
    <row r="26" spans="1:11">
      <c r="B26" s="17"/>
    </row>
  </sheetData>
  <dataValidations count="1">
    <dataValidation allowBlank="1" showInputMessage="1" showErrorMessage="1" errorTitle="invalid status" error="please select a valid status" promptTitle="dropdown" prompt="completed,pending,cancelled,returned_x000a_" sqref="E5:E25" xr:uid="{0A088FCF-3050-4622-A265-821798EBB65B}"/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93FB5-312B-4B8C-906D-0CB251003B99}">
  <dimension ref="A2:L98"/>
  <sheetViews>
    <sheetView topLeftCell="B1" zoomScale="99" zoomScaleNormal="85" workbookViewId="0">
      <selection activeCell="H96" sqref="H96"/>
    </sheetView>
  </sheetViews>
  <sheetFormatPr defaultRowHeight="14.4"/>
  <cols>
    <col min="1" max="1" width="12.6640625" bestFit="1" customWidth="1"/>
    <col min="2" max="2" width="17.21875" bestFit="1" customWidth="1"/>
    <col min="3" max="3" width="11.88671875" bestFit="1" customWidth="1"/>
    <col min="5" max="5" width="15.21875" bestFit="1" customWidth="1"/>
    <col min="6" max="6" width="11.88671875" bestFit="1" customWidth="1"/>
    <col min="7" max="7" width="9.88671875" bestFit="1" customWidth="1"/>
    <col min="8" max="8" width="12.5546875" bestFit="1" customWidth="1"/>
    <col min="9" max="9" width="17" style="8" customWidth="1"/>
    <col min="10" max="10" width="16.5546875" bestFit="1" customWidth="1"/>
    <col min="11" max="11" width="19.109375" bestFit="1" customWidth="1"/>
    <col min="12" max="12" width="12.5546875" bestFit="1" customWidth="1"/>
  </cols>
  <sheetData>
    <row r="2" spans="1:12" ht="31.2">
      <c r="A2" s="2" t="s">
        <v>374</v>
      </c>
      <c r="H2" s="16" t="s">
        <v>373</v>
      </c>
    </row>
    <row r="3" spans="1:12">
      <c r="A3" s="13" t="s">
        <v>360</v>
      </c>
      <c r="B3" t="s">
        <v>359</v>
      </c>
    </row>
    <row r="4" spans="1:12">
      <c r="A4" s="11" t="s">
        <v>43</v>
      </c>
      <c r="B4">
        <v>5832400</v>
      </c>
      <c r="E4" s="2" t="s">
        <v>370</v>
      </c>
      <c r="H4" s="2" t="s">
        <v>372</v>
      </c>
      <c r="K4" s="2" t="s">
        <v>371</v>
      </c>
    </row>
    <row r="5" spans="1:12">
      <c r="A5" s="11" t="s">
        <v>30</v>
      </c>
      <c r="B5">
        <v>12757440</v>
      </c>
      <c r="E5" s="13" t="s">
        <v>360</v>
      </c>
      <c r="F5" t="s">
        <v>358</v>
      </c>
      <c r="H5" s="13" t="s">
        <v>360</v>
      </c>
      <c r="I5" s="8" t="s">
        <v>359</v>
      </c>
      <c r="K5" s="13" t="s">
        <v>360</v>
      </c>
      <c r="L5" t="s">
        <v>359</v>
      </c>
    </row>
    <row r="6" spans="1:12">
      <c r="A6" s="11" t="s">
        <v>214</v>
      </c>
      <c r="B6">
        <v>31200</v>
      </c>
      <c r="E6" s="11" t="s">
        <v>40</v>
      </c>
      <c r="F6">
        <v>532</v>
      </c>
      <c r="H6" s="11" t="s">
        <v>27</v>
      </c>
      <c r="I6" s="8">
        <v>6262600</v>
      </c>
      <c r="K6" s="11" t="s">
        <v>43</v>
      </c>
      <c r="L6">
        <v>5832400</v>
      </c>
    </row>
    <row r="7" spans="1:12">
      <c r="A7" s="11" t="s">
        <v>33</v>
      </c>
      <c r="B7">
        <v>4158480</v>
      </c>
      <c r="E7" s="11" t="s">
        <v>22</v>
      </c>
      <c r="F7">
        <v>599</v>
      </c>
      <c r="H7" s="11" t="s">
        <v>20</v>
      </c>
      <c r="I7" s="8">
        <v>5959560</v>
      </c>
      <c r="K7" s="14" t="s">
        <v>40</v>
      </c>
      <c r="L7">
        <v>308300</v>
      </c>
    </row>
    <row r="8" spans="1:12">
      <c r="A8" s="11" t="s">
        <v>19</v>
      </c>
      <c r="B8">
        <v>3303340</v>
      </c>
      <c r="E8" s="11" t="s">
        <v>99</v>
      </c>
      <c r="F8">
        <v>645</v>
      </c>
      <c r="H8" s="11" t="s">
        <v>78</v>
      </c>
      <c r="I8" s="8">
        <v>5427580</v>
      </c>
      <c r="K8" s="14" t="s">
        <v>22</v>
      </c>
      <c r="L8">
        <v>3648900</v>
      </c>
    </row>
    <row r="9" spans="1:12">
      <c r="A9" s="11" t="s">
        <v>26</v>
      </c>
      <c r="B9">
        <v>3989220</v>
      </c>
      <c r="E9" s="11" t="s">
        <v>89</v>
      </c>
      <c r="F9">
        <v>583</v>
      </c>
      <c r="H9" s="11" t="s">
        <v>31</v>
      </c>
      <c r="I9" s="8">
        <v>5424200</v>
      </c>
      <c r="K9" s="14" t="s">
        <v>99</v>
      </c>
      <c r="L9">
        <v>1106200</v>
      </c>
    </row>
    <row r="10" spans="1:12">
      <c r="A10" s="11" t="s">
        <v>357</v>
      </c>
      <c r="B10">
        <v>30072080</v>
      </c>
      <c r="E10" s="11" t="s">
        <v>357</v>
      </c>
      <c r="F10">
        <v>2359</v>
      </c>
      <c r="H10" s="11" t="s">
        <v>34</v>
      </c>
      <c r="I10" s="8">
        <v>4800740</v>
      </c>
      <c r="K10" s="14" t="s">
        <v>89</v>
      </c>
      <c r="L10">
        <v>769000</v>
      </c>
    </row>
    <row r="11" spans="1:12">
      <c r="H11" s="11" t="s">
        <v>54</v>
      </c>
      <c r="I11" s="8">
        <v>2023400</v>
      </c>
      <c r="K11" s="11" t="s">
        <v>30</v>
      </c>
      <c r="L11">
        <v>12757440</v>
      </c>
    </row>
    <row r="12" spans="1:12">
      <c r="H12" s="11" t="s">
        <v>161</v>
      </c>
      <c r="I12" s="8">
        <v>174000</v>
      </c>
      <c r="K12" s="14" t="s">
        <v>40</v>
      </c>
      <c r="L12">
        <v>329500</v>
      </c>
    </row>
    <row r="13" spans="1:12">
      <c r="H13" s="11" t="s">
        <v>357</v>
      </c>
      <c r="I13" s="8">
        <v>30072080</v>
      </c>
      <c r="K13" s="14" t="s">
        <v>22</v>
      </c>
      <c r="L13">
        <v>11742300</v>
      </c>
    </row>
    <row r="14" spans="1:12">
      <c r="A14" s="2" t="s">
        <v>370</v>
      </c>
      <c r="K14" s="14" t="s">
        <v>99</v>
      </c>
      <c r="L14">
        <v>71100</v>
      </c>
    </row>
    <row r="15" spans="1:12">
      <c r="K15" s="14" t="s">
        <v>89</v>
      </c>
      <c r="L15">
        <v>614540</v>
      </c>
    </row>
    <row r="16" spans="1:12">
      <c r="K16" s="11" t="s">
        <v>214</v>
      </c>
      <c r="L16">
        <v>31200</v>
      </c>
    </row>
    <row r="17" spans="5:12">
      <c r="E17" s="2" t="s">
        <v>369</v>
      </c>
      <c r="K17" s="14" t="s">
        <v>40</v>
      </c>
      <c r="L17">
        <v>31200</v>
      </c>
    </row>
    <row r="18" spans="5:12">
      <c r="E18" s="13" t="s">
        <v>360</v>
      </c>
      <c r="F18" t="s">
        <v>368</v>
      </c>
      <c r="I18" s="15" t="s">
        <v>367</v>
      </c>
      <c r="K18" s="11" t="s">
        <v>33</v>
      </c>
      <c r="L18">
        <v>4158480</v>
      </c>
    </row>
    <row r="19" spans="5:12">
      <c r="E19" s="11" t="s">
        <v>137</v>
      </c>
      <c r="F19">
        <v>12150</v>
      </c>
      <c r="I19" s="13" t="s">
        <v>360</v>
      </c>
      <c r="J19" t="s">
        <v>365</v>
      </c>
      <c r="K19" s="14" t="s">
        <v>40</v>
      </c>
      <c r="L19">
        <v>318500</v>
      </c>
    </row>
    <row r="20" spans="5:12">
      <c r="E20" s="11" t="s">
        <v>95</v>
      </c>
      <c r="F20">
        <v>13071.428571428571</v>
      </c>
      <c r="I20" s="11" t="s">
        <v>25</v>
      </c>
      <c r="J20">
        <v>20</v>
      </c>
      <c r="K20" s="14" t="s">
        <v>22</v>
      </c>
      <c r="L20">
        <v>2284900</v>
      </c>
    </row>
    <row r="21" spans="5:12">
      <c r="E21" s="11" t="s">
        <v>129</v>
      </c>
      <c r="F21">
        <v>4050</v>
      </c>
      <c r="I21" s="11" t="s">
        <v>35</v>
      </c>
      <c r="J21">
        <v>111</v>
      </c>
      <c r="K21" s="14" t="s">
        <v>99</v>
      </c>
      <c r="L21">
        <v>964000</v>
      </c>
    </row>
    <row r="22" spans="5:12">
      <c r="E22" s="11" t="s">
        <v>143</v>
      </c>
      <c r="F22">
        <v>97.142857142857139</v>
      </c>
      <c r="I22" s="11" t="s">
        <v>37</v>
      </c>
      <c r="J22">
        <v>31</v>
      </c>
      <c r="K22" s="14" t="s">
        <v>89</v>
      </c>
      <c r="L22">
        <v>591080</v>
      </c>
    </row>
    <row r="23" spans="5:12">
      <c r="E23" s="11" t="s">
        <v>39</v>
      </c>
      <c r="F23">
        <v>3531.5789473684213</v>
      </c>
      <c r="I23" s="11" t="s">
        <v>114</v>
      </c>
      <c r="J23">
        <v>18</v>
      </c>
      <c r="K23" s="11" t="s">
        <v>19</v>
      </c>
      <c r="L23">
        <v>3303340</v>
      </c>
    </row>
    <row r="24" spans="5:12">
      <c r="E24" s="11" t="s">
        <v>44</v>
      </c>
      <c r="F24">
        <v>2410</v>
      </c>
      <c r="I24" s="11" t="s">
        <v>357</v>
      </c>
      <c r="J24">
        <v>180</v>
      </c>
      <c r="K24" s="14" t="s">
        <v>40</v>
      </c>
      <c r="L24">
        <v>209100</v>
      </c>
    </row>
    <row r="25" spans="5:12">
      <c r="E25" s="11" t="s">
        <v>21</v>
      </c>
      <c r="F25">
        <v>63025</v>
      </c>
      <c r="K25" s="14" t="s">
        <v>22</v>
      </c>
      <c r="L25">
        <v>1469200</v>
      </c>
    </row>
    <row r="26" spans="5:12">
      <c r="E26" s="11" t="s">
        <v>257</v>
      </c>
      <c r="F26">
        <v>18900</v>
      </c>
      <c r="K26" s="14" t="s">
        <v>99</v>
      </c>
      <c r="L26">
        <v>1615400</v>
      </c>
    </row>
    <row r="27" spans="5:12">
      <c r="E27" s="11" t="s">
        <v>116</v>
      </c>
      <c r="F27">
        <v>11886.666666666666</v>
      </c>
      <c r="K27" s="14" t="s">
        <v>89</v>
      </c>
      <c r="L27">
        <v>9640</v>
      </c>
    </row>
    <row r="28" spans="5:12">
      <c r="E28" s="11" t="s">
        <v>100</v>
      </c>
      <c r="F28">
        <v>5213.333333333333</v>
      </c>
      <c r="K28" s="11" t="s">
        <v>26</v>
      </c>
      <c r="L28">
        <v>3989220</v>
      </c>
    </row>
    <row r="29" spans="5:12">
      <c r="E29" s="11" t="s">
        <v>52</v>
      </c>
      <c r="F29">
        <v>20100</v>
      </c>
      <c r="K29" s="14" t="s">
        <v>40</v>
      </c>
      <c r="L29">
        <v>370400</v>
      </c>
    </row>
    <row r="30" spans="5:12">
      <c r="E30" s="11" t="s">
        <v>47</v>
      </c>
      <c r="F30">
        <v>1460</v>
      </c>
      <c r="K30" s="14" t="s">
        <v>22</v>
      </c>
      <c r="L30">
        <v>1268200</v>
      </c>
    </row>
    <row r="31" spans="5:12">
      <c r="E31" s="11" t="s">
        <v>90</v>
      </c>
      <c r="F31">
        <v>115.71428571428571</v>
      </c>
      <c r="K31" s="14" t="s">
        <v>99</v>
      </c>
      <c r="L31">
        <v>1654600</v>
      </c>
    </row>
    <row r="32" spans="5:12">
      <c r="E32" s="11" t="s">
        <v>133</v>
      </c>
      <c r="F32">
        <v>11175</v>
      </c>
      <c r="K32" s="14" t="s">
        <v>89</v>
      </c>
      <c r="L32">
        <v>696020</v>
      </c>
    </row>
    <row r="33" spans="1:12">
      <c r="E33" s="11" t="s">
        <v>28</v>
      </c>
      <c r="F33">
        <v>17100</v>
      </c>
      <c r="K33" s="11" t="s">
        <v>357</v>
      </c>
      <c r="L33">
        <v>30072080</v>
      </c>
    </row>
    <row r="34" spans="1:12">
      <c r="E34" s="11" t="s">
        <v>110</v>
      </c>
      <c r="F34">
        <v>24291.666666666668</v>
      </c>
    </row>
    <row r="35" spans="1:12">
      <c r="E35" s="11" t="s">
        <v>102</v>
      </c>
      <c r="F35">
        <v>3575</v>
      </c>
    </row>
    <row r="36" spans="1:12">
      <c r="E36" s="11" t="s">
        <v>357</v>
      </c>
      <c r="F36">
        <v>13121</v>
      </c>
    </row>
    <row r="39" spans="1:12">
      <c r="E39" s="2" t="s">
        <v>366</v>
      </c>
    </row>
    <row r="40" spans="1:12">
      <c r="E40" s="13" t="s">
        <v>365</v>
      </c>
      <c r="F40" s="13" t="s">
        <v>361</v>
      </c>
    </row>
    <row r="41" spans="1:12">
      <c r="E41" s="13" t="s">
        <v>360</v>
      </c>
      <c r="F41" t="s">
        <v>25</v>
      </c>
      <c r="G41" t="s">
        <v>35</v>
      </c>
      <c r="H41" t="s">
        <v>37</v>
      </c>
      <c r="I41" s="8" t="s">
        <v>114</v>
      </c>
      <c r="J41" t="s">
        <v>357</v>
      </c>
    </row>
    <row r="42" spans="1:12">
      <c r="E42" s="11" t="s">
        <v>43</v>
      </c>
      <c r="F42">
        <v>4</v>
      </c>
      <c r="G42">
        <v>19</v>
      </c>
      <c r="H42">
        <v>5</v>
      </c>
      <c r="I42" s="8">
        <v>6</v>
      </c>
      <c r="J42">
        <v>34</v>
      </c>
    </row>
    <row r="43" spans="1:12">
      <c r="E43" s="11" t="s">
        <v>30</v>
      </c>
      <c r="F43">
        <v>6</v>
      </c>
      <c r="G43">
        <v>26</v>
      </c>
      <c r="H43">
        <v>2</v>
      </c>
      <c r="I43" s="8">
        <v>2</v>
      </c>
      <c r="J43">
        <v>36</v>
      </c>
    </row>
    <row r="44" spans="1:12">
      <c r="E44" s="11" t="s">
        <v>214</v>
      </c>
      <c r="G44">
        <v>1</v>
      </c>
      <c r="J44">
        <v>1</v>
      </c>
    </row>
    <row r="45" spans="1:12">
      <c r="E45" s="11" t="s">
        <v>33</v>
      </c>
      <c r="F45">
        <v>5</v>
      </c>
      <c r="G45">
        <v>25</v>
      </c>
      <c r="H45">
        <v>7</v>
      </c>
      <c r="I45" s="8">
        <v>6</v>
      </c>
      <c r="J45">
        <v>43</v>
      </c>
    </row>
    <row r="46" spans="1:12">
      <c r="E46" s="11" t="s">
        <v>19</v>
      </c>
      <c r="F46">
        <v>3</v>
      </c>
      <c r="G46">
        <v>19</v>
      </c>
      <c r="H46">
        <v>8</v>
      </c>
      <c r="I46" s="8">
        <v>1</v>
      </c>
      <c r="J46">
        <v>31</v>
      </c>
    </row>
    <row r="47" spans="1:12">
      <c r="A47" s="2" t="s">
        <v>364</v>
      </c>
      <c r="E47" s="11" t="s">
        <v>26</v>
      </c>
      <c r="F47">
        <v>2</v>
      </c>
      <c r="G47">
        <v>21</v>
      </c>
      <c r="H47">
        <v>9</v>
      </c>
      <c r="I47" s="8">
        <v>3</v>
      </c>
      <c r="J47">
        <v>35</v>
      </c>
    </row>
    <row r="48" spans="1:12">
      <c r="E48" s="11" t="s">
        <v>357</v>
      </c>
      <c r="F48">
        <v>20</v>
      </c>
      <c r="G48">
        <v>111</v>
      </c>
      <c r="H48">
        <v>31</v>
      </c>
      <c r="I48" s="8">
        <v>18</v>
      </c>
      <c r="J48">
        <v>180</v>
      </c>
    </row>
    <row r="49" spans="1:10">
      <c r="A49" s="13" t="s">
        <v>2</v>
      </c>
      <c r="B49" t="s">
        <v>363</v>
      </c>
    </row>
    <row r="50" spans="1:10">
      <c r="A50" s="2"/>
      <c r="E50" s="2" t="s">
        <v>362</v>
      </c>
    </row>
    <row r="51" spans="1:10">
      <c r="A51" s="13" t="s">
        <v>360</v>
      </c>
      <c r="B51" t="s">
        <v>359</v>
      </c>
      <c r="C51" t="s">
        <v>358</v>
      </c>
      <c r="E51" s="13" t="s">
        <v>359</v>
      </c>
      <c r="F51" s="13" t="s">
        <v>361</v>
      </c>
    </row>
    <row r="52" spans="1:10">
      <c r="A52" s="11" t="s">
        <v>78</v>
      </c>
      <c r="B52">
        <v>506000</v>
      </c>
      <c r="C52">
        <v>71</v>
      </c>
      <c r="E52" s="13" t="s">
        <v>360</v>
      </c>
      <c r="F52" t="s">
        <v>36</v>
      </c>
      <c r="G52" t="s">
        <v>274</v>
      </c>
      <c r="H52" t="s">
        <v>23</v>
      </c>
      <c r="I52" s="8" t="s">
        <v>81</v>
      </c>
      <c r="J52" t="s">
        <v>357</v>
      </c>
    </row>
    <row r="53" spans="1:10">
      <c r="A53" s="11" t="s">
        <v>31</v>
      </c>
      <c r="B53">
        <v>414120</v>
      </c>
      <c r="C53">
        <v>79</v>
      </c>
      <c r="E53" s="11" t="s">
        <v>137</v>
      </c>
      <c r="F53">
        <v>506600</v>
      </c>
      <c r="H53">
        <v>205800</v>
      </c>
      <c r="I53" s="8">
        <v>151600</v>
      </c>
      <c r="J53">
        <v>864000</v>
      </c>
    </row>
    <row r="54" spans="1:10">
      <c r="A54" s="11" t="s">
        <v>27</v>
      </c>
      <c r="B54">
        <v>927160</v>
      </c>
      <c r="C54">
        <v>155</v>
      </c>
      <c r="E54" s="11" t="s">
        <v>95</v>
      </c>
      <c r="H54">
        <v>364700</v>
      </c>
      <c r="I54" s="8">
        <v>958100</v>
      </c>
      <c r="J54">
        <v>1322800</v>
      </c>
    </row>
    <row r="55" spans="1:10">
      <c r="A55" s="11" t="s">
        <v>20</v>
      </c>
      <c r="B55">
        <v>873800</v>
      </c>
      <c r="C55">
        <v>77</v>
      </c>
      <c r="E55" s="11" t="s">
        <v>129</v>
      </c>
      <c r="F55">
        <v>474300</v>
      </c>
      <c r="H55">
        <v>28600</v>
      </c>
      <c r="I55" s="8">
        <v>183900</v>
      </c>
      <c r="J55">
        <v>686800</v>
      </c>
    </row>
    <row r="56" spans="1:10">
      <c r="A56" s="11" t="s">
        <v>54</v>
      </c>
      <c r="B56">
        <v>1147400</v>
      </c>
      <c r="C56">
        <v>75</v>
      </c>
      <c r="E56" s="11" t="s">
        <v>143</v>
      </c>
      <c r="F56">
        <v>5180</v>
      </c>
      <c r="H56">
        <v>5380</v>
      </c>
      <c r="I56" s="8">
        <v>4880</v>
      </c>
      <c r="J56">
        <v>15440</v>
      </c>
    </row>
    <row r="57" spans="1:10">
      <c r="A57" s="11" t="s">
        <v>34</v>
      </c>
      <c r="B57">
        <v>321200</v>
      </c>
      <c r="C57">
        <v>80</v>
      </c>
      <c r="E57" s="11" t="s">
        <v>39</v>
      </c>
      <c r="F57">
        <v>214100</v>
      </c>
      <c r="G57">
        <v>86400</v>
      </c>
      <c r="H57">
        <v>341500</v>
      </c>
      <c r="I57" s="8">
        <v>191000</v>
      </c>
      <c r="J57">
        <v>833000</v>
      </c>
    </row>
    <row r="58" spans="1:10">
      <c r="A58" s="11" t="s">
        <v>357</v>
      </c>
      <c r="B58">
        <v>4189680</v>
      </c>
      <c r="C58">
        <v>537</v>
      </c>
      <c r="E58" s="11" t="s">
        <v>44</v>
      </c>
      <c r="F58">
        <v>117200</v>
      </c>
      <c r="H58">
        <v>95800</v>
      </c>
      <c r="I58" s="8">
        <v>127500</v>
      </c>
      <c r="J58">
        <v>340500</v>
      </c>
    </row>
    <row r="59" spans="1:10">
      <c r="E59" s="11" t="s">
        <v>21</v>
      </c>
      <c r="F59">
        <v>6253700</v>
      </c>
      <c r="H59">
        <v>1213200</v>
      </c>
      <c r="I59" s="8">
        <v>4260000</v>
      </c>
      <c r="J59">
        <v>11726900</v>
      </c>
    </row>
    <row r="60" spans="1:10">
      <c r="E60" s="11" t="s">
        <v>257</v>
      </c>
      <c r="H60">
        <v>472500</v>
      </c>
      <c r="J60">
        <v>472500</v>
      </c>
    </row>
    <row r="61" spans="1:10">
      <c r="E61" s="11" t="s">
        <v>116</v>
      </c>
      <c r="F61">
        <v>263800</v>
      </c>
      <c r="H61">
        <v>1212700</v>
      </c>
      <c r="I61" s="8">
        <v>1455300</v>
      </c>
      <c r="J61">
        <v>2931800</v>
      </c>
    </row>
    <row r="62" spans="1:10">
      <c r="E62" s="11" t="s">
        <v>100</v>
      </c>
      <c r="F62">
        <v>347600</v>
      </c>
      <c r="H62">
        <v>129700</v>
      </c>
      <c r="I62" s="8">
        <v>451400</v>
      </c>
      <c r="J62">
        <v>928700</v>
      </c>
    </row>
    <row r="63" spans="1:10">
      <c r="E63" s="11" t="s">
        <v>52</v>
      </c>
      <c r="F63">
        <v>1343800</v>
      </c>
      <c r="H63">
        <v>329000</v>
      </c>
      <c r="I63" s="8">
        <v>296000</v>
      </c>
      <c r="J63">
        <v>1968800</v>
      </c>
    </row>
    <row r="64" spans="1:10">
      <c r="E64" s="11" t="s">
        <v>47</v>
      </c>
      <c r="H64">
        <v>41700</v>
      </c>
      <c r="I64" s="8">
        <v>52400</v>
      </c>
      <c r="J64">
        <v>94100</v>
      </c>
    </row>
    <row r="65" spans="5:10">
      <c r="E65" s="11" t="s">
        <v>90</v>
      </c>
      <c r="F65">
        <v>12400</v>
      </c>
      <c r="H65">
        <v>2480</v>
      </c>
      <c r="I65" s="8">
        <v>6960</v>
      </c>
      <c r="J65">
        <v>21840</v>
      </c>
    </row>
    <row r="66" spans="5:10">
      <c r="E66" s="11" t="s">
        <v>133</v>
      </c>
      <c r="F66">
        <v>222600</v>
      </c>
      <c r="H66">
        <v>897600</v>
      </c>
      <c r="I66" s="8">
        <v>200000</v>
      </c>
      <c r="J66">
        <v>1320200</v>
      </c>
    </row>
    <row r="67" spans="5:10">
      <c r="E67" s="11" t="s">
        <v>28</v>
      </c>
      <c r="F67">
        <v>1114000</v>
      </c>
      <c r="H67">
        <v>558600</v>
      </c>
      <c r="I67" s="8">
        <v>497600</v>
      </c>
      <c r="J67">
        <v>2170200</v>
      </c>
    </row>
    <row r="68" spans="5:10">
      <c r="E68" s="11" t="s">
        <v>110</v>
      </c>
      <c r="F68">
        <v>1590900</v>
      </c>
      <c r="H68">
        <v>1298000</v>
      </c>
      <c r="I68" s="8">
        <v>1186200</v>
      </c>
      <c r="J68">
        <v>4075100</v>
      </c>
    </row>
    <row r="69" spans="5:10">
      <c r="E69" s="11" t="s">
        <v>102</v>
      </c>
      <c r="F69">
        <v>206800</v>
      </c>
      <c r="H69">
        <v>12600</v>
      </c>
      <c r="I69" s="8">
        <v>80000</v>
      </c>
      <c r="J69">
        <v>299400</v>
      </c>
    </row>
    <row r="70" spans="5:10">
      <c r="E70" s="11" t="s">
        <v>357</v>
      </c>
      <c r="F70">
        <v>12672980</v>
      </c>
      <c r="G70">
        <v>86400</v>
      </c>
      <c r="H70">
        <v>7209860</v>
      </c>
      <c r="I70" s="8">
        <v>10102840</v>
      </c>
      <c r="J70">
        <v>30072080</v>
      </c>
    </row>
    <row r="91" spans="8:10">
      <c r="H91" s="12" t="s">
        <v>360</v>
      </c>
      <c r="I91" s="12" t="s">
        <v>359</v>
      </c>
      <c r="J91" s="12" t="s">
        <v>358</v>
      </c>
    </row>
    <row r="92" spans="8:10">
      <c r="H92" s="11" t="s">
        <v>78</v>
      </c>
      <c r="I92">
        <v>506000</v>
      </c>
      <c r="J92">
        <v>71</v>
      </c>
    </row>
    <row r="93" spans="8:10">
      <c r="H93" s="11" t="s">
        <v>31</v>
      </c>
      <c r="I93">
        <v>414120</v>
      </c>
      <c r="J93">
        <v>79</v>
      </c>
    </row>
    <row r="94" spans="8:10">
      <c r="H94" s="11" t="s">
        <v>27</v>
      </c>
      <c r="I94">
        <v>927160</v>
      </c>
      <c r="J94">
        <v>155</v>
      </c>
    </row>
    <row r="95" spans="8:10">
      <c r="H95" s="11" t="s">
        <v>20</v>
      </c>
      <c r="I95">
        <v>873800</v>
      </c>
      <c r="J95">
        <v>77</v>
      </c>
    </row>
    <row r="96" spans="8:10">
      <c r="H96" s="11" t="s">
        <v>54</v>
      </c>
      <c r="I96">
        <v>1147400</v>
      </c>
      <c r="J96">
        <v>75</v>
      </c>
    </row>
    <row r="97" spans="8:10">
      <c r="H97" s="11" t="s">
        <v>34</v>
      </c>
      <c r="I97">
        <v>321200</v>
      </c>
      <c r="J97">
        <v>80</v>
      </c>
    </row>
    <row r="98" spans="8:10">
      <c r="H98" s="10" t="s">
        <v>357</v>
      </c>
      <c r="I98" s="9">
        <v>4189680</v>
      </c>
      <c r="J98" s="9">
        <v>537</v>
      </c>
    </row>
  </sheetData>
  <pageMargins left="0.7" right="0.7" top="0.75" bottom="0.75" header="0.3" footer="0.3"/>
  <drawing r:id="rId1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B5804AA-B721-45F5-B9C8-805AC14B013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Sales_Data</vt:lpstr>
      <vt:lpstr>MIS_Data</vt:lpstr>
      <vt:lpstr>cleaning</vt:lpstr>
      <vt:lpstr>date time function</vt:lpstr>
      <vt:lpstr>data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SARANSH GUPTA</dc:creator>
  <cp:lastModifiedBy>SARANSH GUPTA</cp:lastModifiedBy>
  <dcterms:created xsi:type="dcterms:W3CDTF">2026-09-17T16:14:58Z</dcterms:created>
  <dcterms:modified xsi:type="dcterms:W3CDTF">2026-09-17T16:45:07Z</dcterms:modified>
</cp:coreProperties>
</file>